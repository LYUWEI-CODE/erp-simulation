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nold\Desktop\简历\制作\作品集\ERP驱动的制造企业经营仿真与多部门决策优化\"/>
    </mc:Choice>
  </mc:AlternateContent>
  <xr:revisionPtr revIDLastSave="0" documentId="13_ncr:1_{D1622245-A3D6-484A-9A3A-CDAB0BBFFCE3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ER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28" i="1" l="1"/>
  <c r="K228" i="1"/>
  <c r="K225" i="1"/>
  <c r="K224" i="1"/>
  <c r="K221" i="1"/>
  <c r="K220" i="1"/>
  <c r="M219" i="1"/>
  <c r="K219" i="1"/>
  <c r="M218" i="1"/>
  <c r="K218" i="1"/>
  <c r="G218" i="1"/>
  <c r="K227" i="1" s="1"/>
  <c r="M217" i="1"/>
  <c r="K216" i="1"/>
  <c r="K215" i="1"/>
  <c r="M214" i="1"/>
  <c r="K214" i="1"/>
  <c r="K213" i="1"/>
  <c r="M202" i="1"/>
  <c r="K230" i="1" s="1"/>
  <c r="K202" i="1"/>
  <c r="K199" i="1"/>
  <c r="K198" i="1"/>
  <c r="K195" i="1"/>
  <c r="K194" i="1"/>
  <c r="M193" i="1"/>
  <c r="K193" i="1"/>
  <c r="M192" i="1"/>
  <c r="K192" i="1"/>
  <c r="G192" i="1"/>
  <c r="K201" i="1" s="1"/>
  <c r="M191" i="1"/>
  <c r="K190" i="1"/>
  <c r="K189" i="1"/>
  <c r="M188" i="1"/>
  <c r="K188" i="1"/>
  <c r="K187" i="1"/>
  <c r="M187" i="1" s="1"/>
  <c r="M176" i="1"/>
  <c r="K176" i="1"/>
  <c r="K173" i="1"/>
  <c r="K172" i="1"/>
  <c r="K169" i="1"/>
  <c r="K168" i="1"/>
  <c r="M167" i="1"/>
  <c r="K167" i="1"/>
  <c r="M166" i="1"/>
  <c r="K166" i="1"/>
  <c r="G166" i="1"/>
  <c r="K175" i="1" s="1"/>
  <c r="M165" i="1"/>
  <c r="K164" i="1"/>
  <c r="K163" i="1"/>
  <c r="M162" i="1"/>
  <c r="K162" i="1"/>
  <c r="K161" i="1"/>
  <c r="M150" i="1"/>
  <c r="K150" i="1"/>
  <c r="K147" i="1"/>
  <c r="K146" i="1"/>
  <c r="K143" i="1"/>
  <c r="K142" i="1"/>
  <c r="M141" i="1"/>
  <c r="K141" i="1"/>
  <c r="M140" i="1"/>
  <c r="K140" i="1"/>
  <c r="G140" i="1"/>
  <c r="K148" i="1" s="1"/>
  <c r="M139" i="1"/>
  <c r="K138" i="1"/>
  <c r="K137" i="1"/>
  <c r="M136" i="1"/>
  <c r="K136" i="1"/>
  <c r="K135" i="1"/>
  <c r="M124" i="1"/>
  <c r="K152" i="1" s="1"/>
  <c r="K124" i="1"/>
  <c r="K121" i="1"/>
  <c r="K120" i="1"/>
  <c r="K117" i="1"/>
  <c r="K116" i="1"/>
  <c r="M115" i="1"/>
  <c r="K115" i="1"/>
  <c r="M114" i="1"/>
  <c r="K114" i="1"/>
  <c r="G114" i="1"/>
  <c r="K123" i="1" s="1"/>
  <c r="M113" i="1"/>
  <c r="K112" i="1"/>
  <c r="K111" i="1"/>
  <c r="M110" i="1"/>
  <c r="K110" i="1"/>
  <c r="K109" i="1"/>
  <c r="M98" i="1"/>
  <c r="K119" i="1" s="1"/>
  <c r="K98" i="1"/>
  <c r="K95" i="1"/>
  <c r="K94" i="1"/>
  <c r="K91" i="1"/>
  <c r="K90" i="1"/>
  <c r="M89" i="1"/>
  <c r="K89" i="1"/>
  <c r="M88" i="1"/>
  <c r="K88" i="1"/>
  <c r="G88" i="1"/>
  <c r="K96" i="1" s="1"/>
  <c r="M87" i="1"/>
  <c r="K86" i="1"/>
  <c r="K85" i="1"/>
  <c r="M84" i="1"/>
  <c r="K84" i="1"/>
  <c r="K83" i="1"/>
  <c r="M83" i="1" s="1"/>
  <c r="M72" i="1"/>
  <c r="K72" i="1"/>
  <c r="K69" i="1"/>
  <c r="K68" i="1"/>
  <c r="K65" i="1"/>
  <c r="K64" i="1"/>
  <c r="M63" i="1"/>
  <c r="K63" i="1"/>
  <c r="M62" i="1"/>
  <c r="K62" i="1"/>
  <c r="G62" i="1"/>
  <c r="K71" i="1" s="1"/>
  <c r="M61" i="1"/>
  <c r="K60" i="1"/>
  <c r="K59" i="1"/>
  <c r="M58" i="1"/>
  <c r="K58" i="1"/>
  <c r="K57" i="1"/>
  <c r="M46" i="1"/>
  <c r="K74" i="1" s="1"/>
  <c r="K32" i="1"/>
  <c r="K31" i="1"/>
  <c r="K145" i="1" l="1"/>
  <c r="K206" i="1"/>
  <c r="K226" i="1"/>
  <c r="K67" i="1"/>
  <c r="K97" i="1"/>
  <c r="K200" i="1"/>
  <c r="K171" i="1"/>
  <c r="K126" i="1"/>
  <c r="M85" i="1"/>
  <c r="K93" i="1"/>
  <c r="K100" i="1"/>
  <c r="K204" i="1"/>
  <c r="K197" i="1"/>
  <c r="K149" i="1"/>
  <c r="K178" i="1"/>
  <c r="K223" i="1"/>
  <c r="M213" i="1"/>
  <c r="M215" i="1" s="1"/>
  <c r="K232" i="1"/>
  <c r="K233" i="1" s="1"/>
  <c r="M189" i="1"/>
  <c r="K207" i="1"/>
  <c r="K174" i="1"/>
  <c r="M161" i="1"/>
  <c r="M163" i="1" s="1"/>
  <c r="K180" i="1"/>
  <c r="K181" i="1" s="1"/>
  <c r="K154" i="1"/>
  <c r="K155" i="1" s="1"/>
  <c r="M135" i="1"/>
  <c r="M137" i="1" s="1"/>
  <c r="M109" i="1"/>
  <c r="M111" i="1" s="1"/>
  <c r="K122" i="1"/>
  <c r="K128" i="1"/>
  <c r="K129" i="1" s="1"/>
  <c r="K102" i="1"/>
  <c r="K103" i="1" s="1"/>
  <c r="M57" i="1"/>
  <c r="M59" i="1" s="1"/>
  <c r="K70" i="1"/>
  <c r="K76" i="1"/>
  <c r="K77" i="1" s="1"/>
  <c r="M35" i="1"/>
  <c r="M49" i="1" l="1"/>
  <c r="K49" i="1" s="1"/>
  <c r="M37" i="1"/>
  <c r="M36" i="1"/>
  <c r="M32" i="1"/>
  <c r="K48" i="1"/>
  <c r="K47" i="1"/>
  <c r="K46" i="1"/>
  <c r="K43" i="1"/>
  <c r="K42" i="1"/>
  <c r="K40" i="1"/>
  <c r="K39" i="1"/>
  <c r="K38" i="1"/>
  <c r="K37" i="1"/>
  <c r="K36" i="1"/>
  <c r="K34" i="1"/>
  <c r="K33" i="1"/>
  <c r="G36" i="1"/>
  <c r="K45" i="1" s="1"/>
  <c r="K50" i="1" l="1"/>
  <c r="K51" i="1" s="1"/>
  <c r="K41" i="1"/>
  <c r="M31" i="1"/>
  <c r="M33" i="1" s="1"/>
  <c r="K44" i="1"/>
  <c r="M47" i="1"/>
  <c r="G43" i="1"/>
  <c r="M45" i="1" s="1"/>
  <c r="K73" i="1" l="1"/>
  <c r="G69" i="1"/>
  <c r="K66" i="1"/>
  <c r="M73" i="1" s="1"/>
  <c r="K92" i="1" s="1"/>
  <c r="M99" i="1" s="1"/>
  <c r="K35" i="1"/>
  <c r="M54" i="1" s="1"/>
  <c r="K52" i="1" s="1"/>
  <c r="K53" i="1" s="1"/>
  <c r="K118" i="1" l="1"/>
  <c r="M125" i="1"/>
  <c r="M71" i="1"/>
  <c r="K61" i="1"/>
  <c r="K54" i="1"/>
  <c r="M34" i="1"/>
  <c r="M38" i="1" s="1"/>
  <c r="K99" i="1" l="1"/>
  <c r="G95" i="1"/>
  <c r="K79" i="1"/>
  <c r="M80" i="1"/>
  <c r="K78" i="1" s="1"/>
  <c r="K144" i="1"/>
  <c r="M151" i="1" s="1"/>
  <c r="M41" i="1"/>
  <c r="M39" i="1"/>
  <c r="K170" i="1" l="1"/>
  <c r="M177" i="1" s="1"/>
  <c r="K196" i="1" s="1"/>
  <c r="M203" i="1" s="1"/>
  <c r="K222" i="1" s="1"/>
  <c r="M229" i="1" s="1"/>
  <c r="M97" i="1"/>
  <c r="K87" i="1"/>
  <c r="M60" i="1"/>
  <c r="M64" i="1" s="1"/>
  <c r="K80" i="1"/>
  <c r="M50" i="1"/>
  <c r="G40" i="1"/>
  <c r="M65" i="1" l="1"/>
  <c r="M106" i="1"/>
  <c r="K104" i="1" s="1"/>
  <c r="K105" i="1"/>
  <c r="G121" i="1"/>
  <c r="K125" i="1"/>
  <c r="M51" i="1"/>
  <c r="M75" i="1" s="1"/>
  <c r="M40" i="1"/>
  <c r="M67" i="1" s="1"/>
  <c r="M76" i="1" l="1"/>
  <c r="M66" i="1" s="1"/>
  <c r="G66" i="1"/>
  <c r="M123" i="1"/>
  <c r="K113" i="1"/>
  <c r="K106" i="1"/>
  <c r="M86" i="1"/>
  <c r="M90" i="1" s="1"/>
  <c r="M91" i="1" s="1"/>
  <c r="K75" i="1"/>
  <c r="M77" i="1"/>
  <c r="M101" i="1" s="1"/>
  <c r="M44" i="1"/>
  <c r="M48" i="1" s="1"/>
  <c r="M52" i="1" s="1"/>
  <c r="K151" i="1" l="1"/>
  <c r="G147" i="1"/>
  <c r="K101" i="1"/>
  <c r="M132" i="1"/>
  <c r="K130" i="1" s="1"/>
  <c r="K131" i="1"/>
  <c r="M70" i="1"/>
  <c r="M74" i="1" s="1"/>
  <c r="M78" i="1" s="1"/>
  <c r="M93" i="1"/>
  <c r="G92" i="1" l="1"/>
  <c r="M102" i="1"/>
  <c r="K132" i="1"/>
  <c r="M112" i="1"/>
  <c r="M116" i="1" s="1"/>
  <c r="M117" i="1" s="1"/>
  <c r="M149" i="1"/>
  <c r="K139" i="1"/>
  <c r="M158" i="1" l="1"/>
  <c r="K156" i="1" s="1"/>
  <c r="K157" i="1"/>
  <c r="M92" i="1"/>
  <c r="M103" i="1"/>
  <c r="M127" i="1" s="1"/>
  <c r="K177" i="1"/>
  <c r="G173" i="1"/>
  <c r="K127" i="1" l="1"/>
  <c r="M96" i="1"/>
  <c r="M100" i="1" s="1"/>
  <c r="M104" i="1" s="1"/>
  <c r="M119" i="1"/>
  <c r="M138" i="1"/>
  <c r="M142" i="1" s="1"/>
  <c r="M143" i="1" s="1"/>
  <c r="K158" i="1"/>
  <c r="M175" i="1"/>
  <c r="K165" i="1"/>
  <c r="K203" i="1" l="1"/>
  <c r="G199" i="1"/>
  <c r="M184" i="1"/>
  <c r="K182" i="1" s="1"/>
  <c r="K183" i="1"/>
  <c r="G118" i="1"/>
  <c r="M128" i="1"/>
  <c r="M164" i="1" l="1"/>
  <c r="M168" i="1" s="1"/>
  <c r="M169" i="1" s="1"/>
  <c r="K184" i="1"/>
  <c r="M118" i="1"/>
  <c r="M129" i="1"/>
  <c r="M153" i="1" s="1"/>
  <c r="K191" i="1"/>
  <c r="M201" i="1"/>
  <c r="M122" i="1" l="1"/>
  <c r="M126" i="1" s="1"/>
  <c r="M130" i="1" s="1"/>
  <c r="M145" i="1"/>
  <c r="K229" i="1"/>
  <c r="G225" i="1"/>
  <c r="K209" i="1"/>
  <c r="M210" i="1"/>
  <c r="K208" i="1" s="1"/>
  <c r="K153" i="1"/>
  <c r="M190" i="1" l="1"/>
  <c r="M194" i="1" s="1"/>
  <c r="M195" i="1" s="1"/>
  <c r="K210" i="1"/>
  <c r="G144" i="1"/>
  <c r="M154" i="1"/>
  <c r="K217" i="1"/>
  <c r="M227" i="1"/>
  <c r="M236" i="1" l="1"/>
  <c r="K234" i="1" s="1"/>
  <c r="K235" i="1"/>
  <c r="M144" i="1"/>
  <c r="M155" i="1"/>
  <c r="M179" i="1" s="1"/>
  <c r="M216" i="1" l="1"/>
  <c r="M220" i="1" s="1"/>
  <c r="M221" i="1" s="1"/>
  <c r="K236" i="1"/>
  <c r="K179" i="1"/>
  <c r="M148" i="1"/>
  <c r="M152" i="1" s="1"/>
  <c r="M156" i="1" s="1"/>
  <c r="M171" i="1"/>
  <c r="G170" i="1" l="1"/>
  <c r="M180" i="1"/>
  <c r="M170" i="1" l="1"/>
  <c r="M181" i="1"/>
  <c r="M205" i="1" s="1"/>
  <c r="K205" i="1" l="1"/>
  <c r="M174" i="1"/>
  <c r="M178" i="1" s="1"/>
  <c r="M182" i="1" s="1"/>
  <c r="M197" i="1"/>
  <c r="M206" i="1" l="1"/>
  <c r="G196" i="1"/>
  <c r="M196" i="1" l="1"/>
  <c r="M207" i="1"/>
  <c r="M231" i="1" s="1"/>
  <c r="K231" i="1" l="1"/>
  <c r="M200" i="1"/>
  <c r="M204" i="1" s="1"/>
  <c r="M208" i="1" s="1"/>
  <c r="M223" i="1"/>
  <c r="M232" i="1" l="1"/>
  <c r="G222" i="1"/>
  <c r="M222" i="1" l="1"/>
  <c r="M226" i="1" s="1"/>
  <c r="M230" i="1" s="1"/>
  <c r="M233" i="1"/>
  <c r="M234" i="1" l="1"/>
</calcChain>
</file>

<file path=xl/sharedStrings.xml><?xml version="1.0" encoding="utf-8"?>
<sst xmlns="http://schemas.openxmlformats.org/spreadsheetml/2006/main" count="850" uniqueCount="103">
  <si>
    <t>增值税</t>
  </si>
  <si>
    <t>增值税</t>
    <phoneticPr fontId="1" type="noConversion"/>
  </si>
  <si>
    <t>附加税</t>
  </si>
  <si>
    <t>附加税</t>
    <phoneticPr fontId="1" type="noConversion"/>
  </si>
  <si>
    <t>企业所得税</t>
  </si>
  <si>
    <t>企业所得税</t>
    <phoneticPr fontId="1" type="noConversion"/>
  </si>
  <si>
    <t>贷款年利率</t>
    <phoneticPr fontId="1" type="noConversion"/>
  </si>
  <si>
    <t>东</t>
    <phoneticPr fontId="1" type="noConversion"/>
  </si>
  <si>
    <t>西</t>
    <phoneticPr fontId="1" type="noConversion"/>
  </si>
  <si>
    <t>南</t>
    <phoneticPr fontId="1" type="noConversion"/>
  </si>
  <si>
    <t>北</t>
    <phoneticPr fontId="1" type="noConversion"/>
  </si>
  <si>
    <t>价格</t>
    <phoneticPr fontId="1" type="noConversion"/>
  </si>
  <si>
    <t>营销</t>
    <phoneticPr fontId="1" type="noConversion"/>
  </si>
  <si>
    <t>投放</t>
    <phoneticPr fontId="1" type="noConversion"/>
  </si>
  <si>
    <t>市场人员+</t>
    <phoneticPr fontId="1" type="noConversion"/>
  </si>
  <si>
    <t>利润表</t>
    <phoneticPr fontId="1" type="noConversion"/>
  </si>
  <si>
    <t>现金流量表</t>
    <phoneticPr fontId="1" type="noConversion"/>
  </si>
  <si>
    <t>资产负债表</t>
    <phoneticPr fontId="1" type="noConversion"/>
  </si>
  <si>
    <t>运营状况表</t>
    <phoneticPr fontId="1" type="noConversion"/>
  </si>
  <si>
    <t>正常采购</t>
    <phoneticPr fontId="1" type="noConversion"/>
  </si>
  <si>
    <t>非正常采购</t>
    <phoneticPr fontId="1" type="noConversion"/>
  </si>
  <si>
    <t>线</t>
    <phoneticPr fontId="1" type="noConversion"/>
  </si>
  <si>
    <t>计划生产量</t>
    <phoneticPr fontId="1" type="noConversion"/>
  </si>
  <si>
    <t>研发</t>
    <phoneticPr fontId="1" type="noConversion"/>
  </si>
  <si>
    <t>技术工人+</t>
    <phoneticPr fontId="1" type="noConversion"/>
  </si>
  <si>
    <t>借款</t>
  </si>
  <si>
    <t>借款</t>
    <phoneticPr fontId="1" type="noConversion"/>
  </si>
  <si>
    <t>还款</t>
  </si>
  <si>
    <t>还款</t>
    <phoneticPr fontId="1" type="noConversion"/>
  </si>
  <si>
    <t>借款剩余</t>
    <phoneticPr fontId="1" type="noConversion"/>
  </si>
  <si>
    <t>原材料价格</t>
    <phoneticPr fontId="1" type="noConversion"/>
  </si>
  <si>
    <t>单位价格</t>
    <phoneticPr fontId="1" type="noConversion"/>
  </si>
  <si>
    <t>市场情况</t>
  </si>
  <si>
    <t>市场需求量</t>
  </si>
  <si>
    <t>市场销售量</t>
  </si>
  <si>
    <t>市场销售额</t>
  </si>
  <si>
    <t>市场占有率(%)</t>
  </si>
  <si>
    <t>产成品库存</t>
  </si>
  <si>
    <t>市场人员</t>
  </si>
  <si>
    <t>东部市场</t>
  </si>
  <si>
    <t>西部市场</t>
  </si>
  <si>
    <t>南部市场</t>
  </si>
  <si>
    <t>北部市场</t>
  </si>
  <si>
    <t>市场合计</t>
  </si>
  <si>
    <t>市场需求总量</t>
  </si>
  <si>
    <t>市场销售总量</t>
  </si>
  <si>
    <t>市场销售总额</t>
  </si>
  <si>
    <t>总市场占有率（%）</t>
  </si>
  <si>
    <t>产成品总库存</t>
  </si>
  <si>
    <t>市场人员总数</t>
  </si>
  <si>
    <t>下季产能</t>
  </si>
  <si>
    <t>下季实际产能</t>
  </si>
  <si>
    <t>本季生产量</t>
  </si>
  <si>
    <t>生产线数量</t>
  </si>
  <si>
    <t>原材料库存</t>
  </si>
  <si>
    <t>员工总数</t>
  </si>
  <si>
    <t>技术工人数量</t>
  </si>
  <si>
    <t>销售收入</t>
  </si>
  <si>
    <t>研发费用</t>
  </si>
  <si>
    <t>班次管理费用</t>
  </si>
  <si>
    <t>人工费用</t>
  </si>
  <si>
    <t>原材料耗用</t>
  </si>
  <si>
    <t>原材料订购成本</t>
  </si>
  <si>
    <t>原材料非正常采购费用</t>
  </si>
  <si>
    <t>生产线维护费用</t>
  </si>
  <si>
    <t>生产线订购成本</t>
  </si>
  <si>
    <t>生产线折旧</t>
  </si>
  <si>
    <t>产成品存货价值修正</t>
  </si>
  <si>
    <t>营销费用</t>
  </si>
  <si>
    <t>运输费用</t>
  </si>
  <si>
    <t>培训费</t>
  </si>
  <si>
    <t>员工工资</t>
  </si>
  <si>
    <t>一次性生活安置费</t>
  </si>
  <si>
    <t>原材料仓储费用</t>
  </si>
  <si>
    <t>产成品仓储费用</t>
  </si>
  <si>
    <t>银行利息</t>
  </si>
  <si>
    <t>费用合计</t>
  </si>
  <si>
    <t>三、净利润</t>
  </si>
  <si>
    <t>流入现金合计</t>
  </si>
  <si>
    <t>现金费用支出</t>
  </si>
  <si>
    <t>购料支出</t>
  </si>
  <si>
    <t>生产线投资支出</t>
  </si>
  <si>
    <t>流出现金合计</t>
  </si>
  <si>
    <t>三、本季现金流量</t>
  </si>
  <si>
    <t>四、季末现金余额</t>
  </si>
  <si>
    <t>现金</t>
  </si>
  <si>
    <t>原材料存货价值</t>
  </si>
  <si>
    <t>产成品存货价值</t>
  </si>
  <si>
    <t>生产设备价值</t>
  </si>
  <si>
    <t>资产合计</t>
  </si>
  <si>
    <t>正常负债</t>
  </si>
  <si>
    <t>非正常负债</t>
  </si>
  <si>
    <t>负债合计</t>
  </si>
  <si>
    <t>三、所有者权益</t>
  </si>
  <si>
    <t>筹建期</t>
    <phoneticPr fontId="1" type="noConversion"/>
  </si>
  <si>
    <t>第一期</t>
    <phoneticPr fontId="1" type="noConversion"/>
  </si>
  <si>
    <t>第二期</t>
    <phoneticPr fontId="1" type="noConversion"/>
  </si>
  <si>
    <t>第三期</t>
    <phoneticPr fontId="1" type="noConversion"/>
  </si>
  <si>
    <t>第四期</t>
    <phoneticPr fontId="1" type="noConversion"/>
  </si>
  <si>
    <t>第五期</t>
    <phoneticPr fontId="1" type="noConversion"/>
  </si>
  <si>
    <t>第六期</t>
    <phoneticPr fontId="1" type="noConversion"/>
  </si>
  <si>
    <t>第七期</t>
    <phoneticPr fontId="1" type="noConversion"/>
  </si>
  <si>
    <t>第八期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</si>
</sst>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36"/>
  <sheetViews>
    <sheetView tabSelected="1" zoomScale="115" zoomScaleNormal="115" workbookViewId="0">
      <selection activeCell="I12" sqref="I12"/>
    </sheetView>
  </sheetViews>
  <sheetFormatPr defaultRowHeight="13.9" x14ac:dyDescent="0.4"/>
  <cols>
    <col min="2" max="2" width="6.9296875" style="1" bestFit="1" customWidth="1"/>
    <col min="3" max="3" width="10.86328125" style="1" bestFit="1" customWidth="1"/>
    <col min="4" max="6" width="12.9296875" style="1" bestFit="1" customWidth="1"/>
    <col min="7" max="7" width="18.06640625" style="1" bestFit="1" customWidth="1"/>
    <col min="8" max="9" width="12.9296875" style="1" bestFit="1" customWidth="1"/>
    <col min="10" max="10" width="21.06640625" style="1" bestFit="1" customWidth="1"/>
    <col min="11" max="11" width="13.3984375" style="1" bestFit="1" customWidth="1"/>
    <col min="12" max="12" width="17" style="1" bestFit="1" customWidth="1"/>
    <col min="13" max="13" width="13.3984375" style="1" bestFit="1" customWidth="1"/>
  </cols>
  <sheetData>
    <row r="1" spans="2:13" ht="14.25" thickBot="1" x14ac:dyDescent="0.45"/>
    <row r="2" spans="2:13" ht="14.25" thickBot="1" x14ac:dyDescent="0.45">
      <c r="B2" s="21" t="s">
        <v>1</v>
      </c>
      <c r="C2" s="20">
        <v>0.06</v>
      </c>
      <c r="D2" s="20" t="s">
        <v>3</v>
      </c>
      <c r="E2" s="20">
        <v>7.0000000000000007E-2</v>
      </c>
      <c r="F2" s="20" t="s">
        <v>5</v>
      </c>
      <c r="G2" s="20">
        <v>0.25</v>
      </c>
      <c r="H2" s="20" t="s">
        <v>6</v>
      </c>
      <c r="I2" s="22">
        <v>0.04</v>
      </c>
    </row>
    <row r="3" spans="2:13" ht="14.25" thickBot="1" x14ac:dyDescent="0.45"/>
    <row r="4" spans="2:13" ht="14.25" thickBot="1" x14ac:dyDescent="0.45">
      <c r="B4" s="24" t="s">
        <v>94</v>
      </c>
      <c r="C4" s="2"/>
      <c r="D4" s="6" t="s">
        <v>11</v>
      </c>
      <c r="E4" s="6" t="s">
        <v>12</v>
      </c>
      <c r="F4" s="6" t="s">
        <v>13</v>
      </c>
      <c r="G4" s="6" t="s">
        <v>14</v>
      </c>
      <c r="H4" s="6"/>
      <c r="I4" s="6"/>
      <c r="J4" s="30" t="s">
        <v>15</v>
      </c>
      <c r="K4" s="31"/>
      <c r="L4" s="32" t="s">
        <v>16</v>
      </c>
      <c r="M4" s="33"/>
    </row>
    <row r="5" spans="2:13" x14ac:dyDescent="0.4">
      <c r="B5" s="25"/>
      <c r="C5" s="3" t="s">
        <v>7</v>
      </c>
      <c r="J5" s="13" t="s">
        <v>57</v>
      </c>
      <c r="K5" s="16">
        <v>0</v>
      </c>
      <c r="L5" s="2" t="s">
        <v>57</v>
      </c>
      <c r="M5" s="10">
        <v>0</v>
      </c>
    </row>
    <row r="6" spans="2:13" x14ac:dyDescent="0.4">
      <c r="B6" s="25"/>
      <c r="C6" s="3" t="s">
        <v>8</v>
      </c>
      <c r="G6" s="1">
        <v>3</v>
      </c>
      <c r="J6" s="14" t="s">
        <v>58</v>
      </c>
      <c r="K6" s="17">
        <v>2123750</v>
      </c>
      <c r="L6" s="3" t="s">
        <v>25</v>
      </c>
      <c r="M6" s="11">
        <v>0</v>
      </c>
    </row>
    <row r="7" spans="2:13" x14ac:dyDescent="0.4">
      <c r="B7" s="25"/>
      <c r="C7" s="3" t="s">
        <v>9</v>
      </c>
      <c r="G7" s="1">
        <v>4</v>
      </c>
      <c r="J7" s="14" t="s">
        <v>59</v>
      </c>
      <c r="K7" s="17">
        <v>0</v>
      </c>
      <c r="L7" s="3" t="s">
        <v>78</v>
      </c>
      <c r="M7" s="11">
        <v>0</v>
      </c>
    </row>
    <row r="8" spans="2:13" x14ac:dyDescent="0.4">
      <c r="B8" s="25"/>
      <c r="C8" s="3" t="s">
        <v>10</v>
      </c>
      <c r="G8" s="1">
        <v>4</v>
      </c>
      <c r="J8" s="14" t="s">
        <v>60</v>
      </c>
      <c r="K8" s="17">
        <v>0</v>
      </c>
      <c r="L8" s="3" t="s">
        <v>79</v>
      </c>
      <c r="M8" s="11">
        <v>3000000</v>
      </c>
    </row>
    <row r="9" spans="2:13" x14ac:dyDescent="0.4">
      <c r="B9" s="25"/>
      <c r="C9" s="3"/>
      <c r="J9" s="14" t="s">
        <v>61</v>
      </c>
      <c r="K9" s="17">
        <v>0</v>
      </c>
      <c r="L9" s="3" t="s">
        <v>80</v>
      </c>
      <c r="M9" s="11">
        <v>0</v>
      </c>
    </row>
    <row r="10" spans="2:13" x14ac:dyDescent="0.4">
      <c r="B10" s="25"/>
      <c r="C10" s="3" t="s">
        <v>19</v>
      </c>
      <c r="D10" s="1">
        <v>0</v>
      </c>
      <c r="F10" s="1" t="s">
        <v>24</v>
      </c>
      <c r="G10" s="1">
        <v>21</v>
      </c>
      <c r="J10" s="14" t="s">
        <v>62</v>
      </c>
      <c r="K10" s="17">
        <v>0</v>
      </c>
      <c r="L10" s="3" t="s">
        <v>81</v>
      </c>
      <c r="M10" s="11">
        <v>3500000</v>
      </c>
    </row>
    <row r="11" spans="2:13" x14ac:dyDescent="0.4">
      <c r="B11" s="25"/>
      <c r="C11" s="3" t="s">
        <v>20</v>
      </c>
      <c r="D11" s="1">
        <v>0</v>
      </c>
      <c r="J11" s="14" t="s">
        <v>63</v>
      </c>
      <c r="K11" s="17">
        <v>0</v>
      </c>
      <c r="L11" s="3" t="s">
        <v>27</v>
      </c>
      <c r="M11" s="11">
        <v>0</v>
      </c>
    </row>
    <row r="12" spans="2:13" x14ac:dyDescent="0.4">
      <c r="B12" s="25"/>
      <c r="C12" s="3" t="s">
        <v>21</v>
      </c>
      <c r="D12" s="1">
        <v>7</v>
      </c>
      <c r="F12" s="1" t="s">
        <v>26</v>
      </c>
      <c r="G12" s="1">
        <v>0</v>
      </c>
      <c r="J12" s="14" t="s">
        <v>64</v>
      </c>
      <c r="K12" s="17">
        <v>0</v>
      </c>
      <c r="L12" s="3" t="s">
        <v>82</v>
      </c>
      <c r="M12" s="11">
        <v>6500000</v>
      </c>
    </row>
    <row r="13" spans="2:13" x14ac:dyDescent="0.4">
      <c r="B13" s="25"/>
      <c r="C13" s="3"/>
      <c r="F13" s="1" t="s">
        <v>28</v>
      </c>
      <c r="G13" s="1">
        <v>0</v>
      </c>
      <c r="J13" s="14" t="s">
        <v>65</v>
      </c>
      <c r="K13" s="17">
        <v>700000</v>
      </c>
      <c r="L13" s="3" t="s">
        <v>83</v>
      </c>
      <c r="M13" s="11">
        <v>-6500000</v>
      </c>
    </row>
    <row r="14" spans="2:13" x14ac:dyDescent="0.4">
      <c r="B14" s="25"/>
      <c r="C14" s="3" t="s">
        <v>22</v>
      </c>
      <c r="D14" s="1">
        <v>0</v>
      </c>
      <c r="F14" s="1" t="s">
        <v>29</v>
      </c>
      <c r="G14" s="1">
        <v>0</v>
      </c>
      <c r="J14" s="14" t="s">
        <v>66</v>
      </c>
      <c r="K14" s="17">
        <v>0</v>
      </c>
      <c r="L14" s="3" t="s">
        <v>84</v>
      </c>
      <c r="M14" s="11">
        <v>0</v>
      </c>
    </row>
    <row r="15" spans="2:13" ht="14.25" thickBot="1" x14ac:dyDescent="0.45">
      <c r="B15" s="25"/>
      <c r="C15" s="3" t="s">
        <v>23</v>
      </c>
      <c r="D15" s="7">
        <v>2123750</v>
      </c>
      <c r="J15" s="14" t="s">
        <v>67</v>
      </c>
      <c r="K15" s="17">
        <v>0</v>
      </c>
      <c r="L15" s="4" t="s">
        <v>29</v>
      </c>
      <c r="M15" s="12">
        <v>0</v>
      </c>
    </row>
    <row r="16" spans="2:13" ht="14.25" thickBot="1" x14ac:dyDescent="0.45">
      <c r="B16" s="25"/>
      <c r="C16" s="3"/>
      <c r="F16" s="1" t="s">
        <v>30</v>
      </c>
      <c r="G16" s="1">
        <v>1.5</v>
      </c>
      <c r="J16" s="14" t="s">
        <v>68</v>
      </c>
      <c r="K16" s="18">
        <v>0</v>
      </c>
      <c r="M16" s="11"/>
    </row>
    <row r="17" spans="2:13" ht="14.25" thickBot="1" x14ac:dyDescent="0.45">
      <c r="B17" s="25"/>
      <c r="C17" s="3"/>
      <c r="F17" s="1" t="s">
        <v>31</v>
      </c>
      <c r="J17" s="14" t="s">
        <v>69</v>
      </c>
      <c r="K17" s="18">
        <v>0</v>
      </c>
      <c r="L17" s="32" t="s">
        <v>17</v>
      </c>
      <c r="M17" s="33"/>
    </row>
    <row r="18" spans="2:13" ht="14.25" thickBot="1" x14ac:dyDescent="0.45">
      <c r="B18" s="25"/>
      <c r="C18" s="4"/>
      <c r="D18" s="8"/>
      <c r="E18" s="8"/>
      <c r="F18" s="8"/>
      <c r="G18" s="8"/>
      <c r="H18" s="8"/>
      <c r="I18" s="8"/>
      <c r="J18" s="14" t="s">
        <v>70</v>
      </c>
      <c r="K18" s="17">
        <v>48000</v>
      </c>
      <c r="L18" s="2" t="s">
        <v>85</v>
      </c>
      <c r="M18" s="10">
        <v>0</v>
      </c>
    </row>
    <row r="19" spans="2:13" ht="14.25" thickBot="1" x14ac:dyDescent="0.45">
      <c r="B19" s="25"/>
      <c r="C19" s="27" t="s">
        <v>18</v>
      </c>
      <c r="D19" s="29"/>
      <c r="E19" s="29"/>
      <c r="F19" s="29"/>
      <c r="G19" s="29"/>
      <c r="H19" s="29"/>
      <c r="I19" s="29"/>
      <c r="J19" s="14" t="s">
        <v>71</v>
      </c>
      <c r="K19" s="17">
        <v>128250</v>
      </c>
      <c r="L19" s="3" t="s">
        <v>86</v>
      </c>
      <c r="M19" s="11">
        <v>0</v>
      </c>
    </row>
    <row r="20" spans="2:13" x14ac:dyDescent="0.4">
      <c r="B20" s="25"/>
      <c r="C20" s="2" t="s">
        <v>32</v>
      </c>
      <c r="D20" s="6" t="s">
        <v>33</v>
      </c>
      <c r="E20" s="6" t="s">
        <v>34</v>
      </c>
      <c r="F20" s="6" t="s">
        <v>35</v>
      </c>
      <c r="G20" s="6" t="s">
        <v>36</v>
      </c>
      <c r="H20" s="6" t="s">
        <v>37</v>
      </c>
      <c r="I20" s="6" t="s">
        <v>38</v>
      </c>
      <c r="J20" s="14" t="s">
        <v>72</v>
      </c>
      <c r="K20" s="17">
        <v>0</v>
      </c>
      <c r="L20" s="3" t="s">
        <v>87</v>
      </c>
      <c r="M20" s="11">
        <v>0</v>
      </c>
    </row>
    <row r="21" spans="2:13" x14ac:dyDescent="0.4">
      <c r="B21" s="25"/>
      <c r="C21" s="3" t="s">
        <v>39</v>
      </c>
      <c r="D21" s="1">
        <v>0</v>
      </c>
      <c r="E21" s="1">
        <v>0</v>
      </c>
      <c r="F21" s="1">
        <v>0</v>
      </c>
      <c r="G21" s="1">
        <v>12.5</v>
      </c>
      <c r="H21" s="1">
        <v>0</v>
      </c>
      <c r="I21" s="1">
        <v>0</v>
      </c>
      <c r="J21" s="14" t="s">
        <v>73</v>
      </c>
      <c r="K21" s="17">
        <v>0</v>
      </c>
      <c r="L21" s="3" t="s">
        <v>88</v>
      </c>
      <c r="M21" s="11">
        <v>3500000</v>
      </c>
    </row>
    <row r="22" spans="2:13" x14ac:dyDescent="0.4">
      <c r="B22" s="25"/>
      <c r="C22" s="3" t="s">
        <v>40</v>
      </c>
      <c r="D22" s="7">
        <v>0</v>
      </c>
      <c r="E22" s="7">
        <v>0</v>
      </c>
      <c r="F22" s="7">
        <v>0</v>
      </c>
      <c r="G22" s="1">
        <v>12.5</v>
      </c>
      <c r="H22" s="7">
        <v>0</v>
      </c>
      <c r="I22" s="1">
        <v>3</v>
      </c>
      <c r="J22" s="14" t="s">
        <v>74</v>
      </c>
      <c r="K22" s="17">
        <v>0</v>
      </c>
      <c r="L22" s="3" t="s">
        <v>89</v>
      </c>
      <c r="M22" s="11">
        <v>3500000</v>
      </c>
    </row>
    <row r="23" spans="2:13" x14ac:dyDescent="0.4">
      <c r="B23" s="25"/>
      <c r="C23" s="3" t="s">
        <v>41</v>
      </c>
      <c r="D23" s="7">
        <v>0</v>
      </c>
      <c r="E23" s="7">
        <v>0</v>
      </c>
      <c r="F23" s="7">
        <v>0</v>
      </c>
      <c r="G23" s="1">
        <v>12.5</v>
      </c>
      <c r="H23" s="1">
        <v>0</v>
      </c>
      <c r="I23" s="1">
        <v>4</v>
      </c>
      <c r="J23" s="14" t="s">
        <v>75</v>
      </c>
      <c r="K23" s="17">
        <v>0</v>
      </c>
      <c r="L23" s="3" t="s">
        <v>90</v>
      </c>
      <c r="M23" s="11">
        <v>0</v>
      </c>
    </row>
    <row r="24" spans="2:13" x14ac:dyDescent="0.4">
      <c r="B24" s="25"/>
      <c r="C24" s="3" t="s">
        <v>42</v>
      </c>
      <c r="D24" s="7">
        <v>0</v>
      </c>
      <c r="E24" s="7">
        <v>0</v>
      </c>
      <c r="F24" s="7">
        <v>0</v>
      </c>
      <c r="G24" s="1">
        <v>12.5</v>
      </c>
      <c r="H24" s="1">
        <v>0</v>
      </c>
      <c r="I24" s="1">
        <v>4</v>
      </c>
      <c r="J24" s="14" t="s">
        <v>0</v>
      </c>
      <c r="K24" s="17">
        <v>0</v>
      </c>
      <c r="L24" s="3" t="s">
        <v>91</v>
      </c>
      <c r="M24" s="11">
        <v>0</v>
      </c>
    </row>
    <row r="25" spans="2:13" x14ac:dyDescent="0.4">
      <c r="B25" s="25"/>
      <c r="C25" s="3" t="s">
        <v>43</v>
      </c>
      <c r="D25" s="1" t="s">
        <v>44</v>
      </c>
      <c r="E25" s="1" t="s">
        <v>45</v>
      </c>
      <c r="F25" s="1" t="s">
        <v>46</v>
      </c>
      <c r="G25" s="1" t="s">
        <v>47</v>
      </c>
      <c r="H25" s="1" t="s">
        <v>48</v>
      </c>
      <c r="I25" s="1" t="s">
        <v>49</v>
      </c>
      <c r="J25" s="14" t="s">
        <v>2</v>
      </c>
      <c r="K25" s="17">
        <v>0</v>
      </c>
      <c r="L25" s="3" t="s">
        <v>92</v>
      </c>
      <c r="M25" s="11">
        <v>0</v>
      </c>
    </row>
    <row r="26" spans="2:13" ht="14.25" thickBot="1" x14ac:dyDescent="0.45">
      <c r="B26" s="25"/>
      <c r="C26" s="3"/>
      <c r="D26" s="7">
        <v>0</v>
      </c>
      <c r="E26" s="7">
        <v>0</v>
      </c>
      <c r="F26" s="7">
        <v>0</v>
      </c>
      <c r="G26" s="1">
        <v>0</v>
      </c>
      <c r="H26" s="7">
        <v>0</v>
      </c>
      <c r="I26" s="1">
        <v>11</v>
      </c>
      <c r="J26" s="14" t="s">
        <v>4</v>
      </c>
      <c r="K26" s="17">
        <v>0</v>
      </c>
      <c r="L26" s="4" t="s">
        <v>93</v>
      </c>
      <c r="M26" s="12">
        <v>3500000</v>
      </c>
    </row>
    <row r="27" spans="2:13" ht="14.25" thickBot="1" x14ac:dyDescent="0.45">
      <c r="B27" s="25"/>
      <c r="C27" s="3" t="s">
        <v>50</v>
      </c>
      <c r="D27" s="1" t="s">
        <v>51</v>
      </c>
      <c r="E27" s="1" t="s">
        <v>52</v>
      </c>
      <c r="F27" s="1" t="s">
        <v>53</v>
      </c>
      <c r="G27" s="1" t="s">
        <v>54</v>
      </c>
      <c r="H27" s="1" t="s">
        <v>55</v>
      </c>
      <c r="I27" s="1" t="s">
        <v>56</v>
      </c>
      <c r="J27" s="14" t="s">
        <v>76</v>
      </c>
      <c r="K27" s="18">
        <v>3000000</v>
      </c>
      <c r="M27" s="11"/>
    </row>
    <row r="28" spans="2:13" ht="14.25" thickBot="1" x14ac:dyDescent="0.45">
      <c r="B28" s="26"/>
      <c r="C28" s="5">
        <v>350000</v>
      </c>
      <c r="D28" s="9">
        <v>350000</v>
      </c>
      <c r="E28" s="9">
        <v>0</v>
      </c>
      <c r="F28" s="8">
        <v>7</v>
      </c>
      <c r="G28" s="9">
        <v>0</v>
      </c>
      <c r="H28" s="8">
        <v>32</v>
      </c>
      <c r="I28" s="8">
        <v>21</v>
      </c>
      <c r="J28" s="15" t="s">
        <v>77</v>
      </c>
      <c r="K28" s="19">
        <v>-3000000</v>
      </c>
      <c r="L28" s="20" t="s">
        <v>5</v>
      </c>
      <c r="M28" s="22">
        <v>0</v>
      </c>
    </row>
    <row r="29" spans="2:13" ht="14.25" thickBot="1" x14ac:dyDescent="0.45"/>
    <row r="30" spans="2:13" ht="14.25" thickBot="1" x14ac:dyDescent="0.45">
      <c r="B30" s="24" t="s">
        <v>95</v>
      </c>
      <c r="C30" s="2"/>
      <c r="D30" s="6" t="s">
        <v>11</v>
      </c>
      <c r="E30" s="6" t="s">
        <v>12</v>
      </c>
      <c r="F30" s="6" t="s">
        <v>13</v>
      </c>
      <c r="G30" s="6" t="s">
        <v>14</v>
      </c>
      <c r="H30" s="6"/>
      <c r="I30" s="10"/>
      <c r="J30" s="27" t="s">
        <v>15</v>
      </c>
      <c r="K30" s="28"/>
      <c r="L30" s="27" t="s">
        <v>16</v>
      </c>
      <c r="M30" s="28"/>
    </row>
    <row r="31" spans="2:13" x14ac:dyDescent="0.4">
      <c r="B31" s="25"/>
      <c r="C31" s="3" t="s">
        <v>39</v>
      </c>
      <c r="I31" s="11"/>
      <c r="J31" s="2" t="s">
        <v>57</v>
      </c>
      <c r="K31" s="10">
        <f>D31*(F31+H21-H47)+D32*(F32+H22-H48)+D33*(F33+H23-H49)+D33*(F34+H24-H50)</f>
        <v>0</v>
      </c>
      <c r="L31" s="2" t="s">
        <v>57</v>
      </c>
      <c r="M31" s="10">
        <f>K31</f>
        <v>0</v>
      </c>
    </row>
    <row r="32" spans="2:13" x14ac:dyDescent="0.4">
      <c r="B32" s="25"/>
      <c r="C32" s="3" t="s">
        <v>40</v>
      </c>
      <c r="E32" s="7"/>
      <c r="I32" s="11"/>
      <c r="J32" s="3" t="s">
        <v>58</v>
      </c>
      <c r="K32" s="23">
        <f>D41</f>
        <v>0</v>
      </c>
      <c r="L32" s="3" t="s">
        <v>25</v>
      </c>
      <c r="M32" s="11">
        <f>G38</f>
        <v>0</v>
      </c>
    </row>
    <row r="33" spans="2:13" x14ac:dyDescent="0.4">
      <c r="B33" s="25"/>
      <c r="C33" s="3" t="s">
        <v>41</v>
      </c>
      <c r="E33" s="7"/>
      <c r="I33" s="11"/>
      <c r="J33" s="3" t="s">
        <v>59</v>
      </c>
      <c r="K33" s="11">
        <f>20000</f>
        <v>20000</v>
      </c>
      <c r="L33" s="3" t="s">
        <v>78</v>
      </c>
      <c r="M33" s="11">
        <f>M32+M31</f>
        <v>0</v>
      </c>
    </row>
    <row r="34" spans="2:13" x14ac:dyDescent="0.4">
      <c r="B34" s="25"/>
      <c r="C34" s="3" t="s">
        <v>42</v>
      </c>
      <c r="E34" s="7"/>
      <c r="I34" s="11"/>
      <c r="J34" s="3" t="s">
        <v>60</v>
      </c>
      <c r="K34" s="11">
        <f>1.4*D40</f>
        <v>0</v>
      </c>
      <c r="L34" s="3" t="s">
        <v>79</v>
      </c>
      <c r="M34" s="11" t="e">
        <f>K53-K35-K40-K41</f>
        <v>#DIV/0!</v>
      </c>
    </row>
    <row r="35" spans="2:13" x14ac:dyDescent="0.4">
      <c r="B35" s="25"/>
      <c r="C35" s="3"/>
      <c r="I35" s="11"/>
      <c r="J35" s="3" t="s">
        <v>61</v>
      </c>
      <c r="K35" s="11" t="e">
        <f>1.35*G43*D40</f>
        <v>#DIV/0!</v>
      </c>
      <c r="L35" s="3" t="s">
        <v>80</v>
      </c>
      <c r="M35" s="11">
        <f>(D36+D37)*G42</f>
        <v>0</v>
      </c>
    </row>
    <row r="36" spans="2:13" x14ac:dyDescent="0.4">
      <c r="B36" s="25"/>
      <c r="C36" s="3" t="s">
        <v>19</v>
      </c>
      <c r="D36" s="7"/>
      <c r="F36" s="1" t="s">
        <v>24</v>
      </c>
      <c r="G36" s="1">
        <f>D38*3</f>
        <v>0</v>
      </c>
      <c r="I36" s="11"/>
      <c r="J36" s="3" t="s">
        <v>62</v>
      </c>
      <c r="K36" s="11">
        <f>IF(SUM(D36:D37)&gt;0,200000,0)</f>
        <v>0</v>
      </c>
      <c r="L36" s="3" t="s">
        <v>81</v>
      </c>
      <c r="M36" s="11">
        <f>500000*D38</f>
        <v>0</v>
      </c>
    </row>
    <row r="37" spans="2:13" x14ac:dyDescent="0.4">
      <c r="B37" s="25"/>
      <c r="C37" s="3" t="s">
        <v>20</v>
      </c>
      <c r="D37" s="7"/>
      <c r="I37" s="11"/>
      <c r="J37" s="3" t="s">
        <v>63</v>
      </c>
      <c r="K37" s="11">
        <f>D37</f>
        <v>0</v>
      </c>
      <c r="L37" s="3" t="s">
        <v>27</v>
      </c>
      <c r="M37" s="11">
        <f>G39</f>
        <v>0</v>
      </c>
    </row>
    <row r="38" spans="2:13" x14ac:dyDescent="0.4">
      <c r="B38" s="25"/>
      <c r="C38" s="3" t="s">
        <v>21</v>
      </c>
      <c r="F38" s="1" t="s">
        <v>26</v>
      </c>
      <c r="I38" s="11"/>
      <c r="J38" s="3" t="s">
        <v>64</v>
      </c>
      <c r="K38" s="11">
        <f>12000*F28</f>
        <v>84000</v>
      </c>
      <c r="L38" s="3" t="s">
        <v>82</v>
      </c>
      <c r="M38" s="11" t="e">
        <f>SUM(M34:M37)</f>
        <v>#DIV/0!</v>
      </c>
    </row>
    <row r="39" spans="2:13" x14ac:dyDescent="0.4">
      <c r="B39" s="25"/>
      <c r="C39" s="3"/>
      <c r="F39" s="1" t="s">
        <v>28</v>
      </c>
      <c r="I39" s="11"/>
      <c r="J39" s="3" t="s">
        <v>65</v>
      </c>
      <c r="K39" s="11">
        <f>100000*D38</f>
        <v>0</v>
      </c>
      <c r="L39" s="3" t="s">
        <v>83</v>
      </c>
      <c r="M39" s="11" t="e">
        <f>M33-M38</f>
        <v>#DIV/0!</v>
      </c>
    </row>
    <row r="40" spans="2:13" x14ac:dyDescent="0.4">
      <c r="B40" s="25"/>
      <c r="C40" s="3" t="s">
        <v>22</v>
      </c>
      <c r="D40" s="7"/>
      <c r="F40" s="1" t="s">
        <v>29</v>
      </c>
      <c r="G40" s="1" t="e">
        <f>M41</f>
        <v>#DIV/0!</v>
      </c>
      <c r="I40" s="11"/>
      <c r="J40" s="3" t="s">
        <v>66</v>
      </c>
      <c r="K40" s="11">
        <f>0.025*M21</f>
        <v>87500</v>
      </c>
      <c r="L40" s="3" t="s">
        <v>84</v>
      </c>
      <c r="M40" s="11" t="e">
        <f>IF(M50=0,M14+M39,K31/2)</f>
        <v>#DIV/0!</v>
      </c>
    </row>
    <row r="41" spans="2:13" ht="14.25" thickBot="1" x14ac:dyDescent="0.45">
      <c r="B41" s="25"/>
      <c r="C41" s="3" t="s">
        <v>23</v>
      </c>
      <c r="D41" s="7"/>
      <c r="I41" s="11"/>
      <c r="J41" s="3" t="s">
        <v>67</v>
      </c>
      <c r="K41" s="11">
        <f>M20-M46</f>
        <v>0</v>
      </c>
      <c r="L41" s="4" t="s">
        <v>29</v>
      </c>
      <c r="M41" s="12" t="e">
        <f>M14+G38+K31/2-M38</f>
        <v>#DIV/0!</v>
      </c>
    </row>
    <row r="42" spans="2:13" ht="14.25" thickBot="1" x14ac:dyDescent="0.45">
      <c r="B42" s="25"/>
      <c r="C42" s="3"/>
      <c r="F42" s="1" t="s">
        <v>30</v>
      </c>
      <c r="I42" s="11"/>
      <c r="J42" s="3" t="s">
        <v>68</v>
      </c>
      <c r="K42" s="11">
        <f>SUM(E31:E34)</f>
        <v>0</v>
      </c>
      <c r="M42" s="11"/>
    </row>
    <row r="43" spans="2:13" ht="14.25" thickBot="1" x14ac:dyDescent="0.45">
      <c r="B43" s="25"/>
      <c r="C43" s="3"/>
      <c r="F43" s="1" t="s">
        <v>31</v>
      </c>
      <c r="G43" s="1" t="e">
        <f>(M19+M35)/(G28+D36+D37)</f>
        <v>#DIV/0!</v>
      </c>
      <c r="I43" s="11"/>
      <c r="J43" s="3" t="s">
        <v>69</v>
      </c>
      <c r="K43" s="11">
        <f>0.5*F31+0.1*F32+0.4*(F33+F34)</f>
        <v>0</v>
      </c>
      <c r="L43" s="27" t="s">
        <v>17</v>
      </c>
      <c r="M43" s="28"/>
    </row>
    <row r="44" spans="2:13" ht="14.25" thickBot="1" x14ac:dyDescent="0.45">
      <c r="B44" s="25"/>
      <c r="C44" s="4"/>
      <c r="D44" s="8"/>
      <c r="E44" s="8"/>
      <c r="F44" s="8"/>
      <c r="G44" s="8"/>
      <c r="H44" s="8"/>
      <c r="I44" s="12"/>
      <c r="J44" s="3" t="s">
        <v>70</v>
      </c>
      <c r="K44" s="11">
        <f>1500*SUM(G31:G36)</f>
        <v>0</v>
      </c>
      <c r="L44" s="2" t="s">
        <v>85</v>
      </c>
      <c r="M44" s="10" t="e">
        <f>M40</f>
        <v>#DIV/0!</v>
      </c>
    </row>
    <row r="45" spans="2:13" ht="14.25" thickBot="1" x14ac:dyDescent="0.45">
      <c r="B45" s="25"/>
      <c r="C45" s="27" t="s">
        <v>18</v>
      </c>
      <c r="D45" s="29"/>
      <c r="E45" s="29"/>
      <c r="F45" s="29"/>
      <c r="G45" s="29"/>
      <c r="H45" s="29"/>
      <c r="I45" s="28"/>
      <c r="J45" s="3" t="s">
        <v>71</v>
      </c>
      <c r="K45" s="11">
        <f>3750*G36+7500*I28+4500*SUM(G31:G34)+9000*I26</f>
        <v>256500</v>
      </c>
      <c r="L45" s="3" t="s">
        <v>86</v>
      </c>
      <c r="M45" s="11" t="e">
        <f>G43*D36</f>
        <v>#DIV/0!</v>
      </c>
    </row>
    <row r="46" spans="2:13" x14ac:dyDescent="0.4">
      <c r="B46" s="25"/>
      <c r="C46" s="2" t="s">
        <v>32</v>
      </c>
      <c r="D46" s="6" t="s">
        <v>33</v>
      </c>
      <c r="E46" s="6" t="s">
        <v>34</v>
      </c>
      <c r="F46" s="6" t="s">
        <v>35</v>
      </c>
      <c r="G46" s="6" t="s">
        <v>36</v>
      </c>
      <c r="H46" s="6" t="s">
        <v>37</v>
      </c>
      <c r="I46" s="10" t="s">
        <v>38</v>
      </c>
      <c r="J46" s="3" t="s">
        <v>72</v>
      </c>
      <c r="K46" s="11">
        <f>0</f>
        <v>0</v>
      </c>
      <c r="L46" s="3" t="s">
        <v>87</v>
      </c>
      <c r="M46" s="11">
        <f>H26*4</f>
        <v>0</v>
      </c>
    </row>
    <row r="47" spans="2:13" x14ac:dyDescent="0.4">
      <c r="B47" s="25"/>
      <c r="C47" s="3" t="s">
        <v>39</v>
      </c>
      <c r="I47" s="11"/>
      <c r="J47" s="3" t="s">
        <v>73</v>
      </c>
      <c r="K47" s="11">
        <f>0.1*M19</f>
        <v>0</v>
      </c>
      <c r="L47" s="3" t="s">
        <v>88</v>
      </c>
      <c r="M47" s="11">
        <f>M21-K40+M36</f>
        <v>3412500</v>
      </c>
    </row>
    <row r="48" spans="2:13" x14ac:dyDescent="0.4">
      <c r="B48" s="25"/>
      <c r="C48" s="3" t="s">
        <v>40</v>
      </c>
      <c r="D48" s="7"/>
      <c r="E48" s="7"/>
      <c r="F48" s="7"/>
      <c r="H48" s="7"/>
      <c r="I48" s="11"/>
      <c r="J48" s="3" t="s">
        <v>74</v>
      </c>
      <c r="K48" s="11">
        <f>0.5*M20</f>
        <v>0</v>
      </c>
      <c r="L48" s="3" t="s">
        <v>89</v>
      </c>
      <c r="M48" s="11" t="e">
        <f>SUM(M44:M47)</f>
        <v>#DIV/0!</v>
      </c>
    </row>
    <row r="49" spans="2:13" x14ac:dyDescent="0.4">
      <c r="B49" s="25"/>
      <c r="C49" s="3" t="s">
        <v>41</v>
      </c>
      <c r="D49" s="7"/>
      <c r="E49" s="7"/>
      <c r="F49" s="7"/>
      <c r="I49" s="11"/>
      <c r="J49" s="3" t="s">
        <v>75</v>
      </c>
      <c r="K49" s="11">
        <f>$I$2/4*M49+$I$2/4*3*M24</f>
        <v>0</v>
      </c>
      <c r="L49" s="3" t="s">
        <v>90</v>
      </c>
      <c r="M49" s="11">
        <f>M25+G38-G39</f>
        <v>0</v>
      </c>
    </row>
    <row r="50" spans="2:13" x14ac:dyDescent="0.4">
      <c r="B50" s="25"/>
      <c r="C50" s="3" t="s">
        <v>42</v>
      </c>
      <c r="D50" s="7"/>
      <c r="E50" s="7"/>
      <c r="F50" s="7"/>
      <c r="I50" s="11"/>
      <c r="J50" s="3" t="s">
        <v>0</v>
      </c>
      <c r="K50" s="11">
        <f>K31/(1+$C$2)*$C$2</f>
        <v>0</v>
      </c>
      <c r="L50" s="3" t="s">
        <v>91</v>
      </c>
      <c r="M50" s="11" t="e">
        <f>IF(M41&gt;0,0,-M41)</f>
        <v>#DIV/0!</v>
      </c>
    </row>
    <row r="51" spans="2:13" x14ac:dyDescent="0.4">
      <c r="B51" s="25"/>
      <c r="C51" s="3" t="s">
        <v>43</v>
      </c>
      <c r="D51" s="1" t="s">
        <v>44</v>
      </c>
      <c r="E51" s="1" t="s">
        <v>45</v>
      </c>
      <c r="F51" s="1" t="s">
        <v>46</v>
      </c>
      <c r="G51" s="1" t="s">
        <v>47</v>
      </c>
      <c r="H51" s="1" t="s">
        <v>48</v>
      </c>
      <c r="I51" s="11" t="s">
        <v>49</v>
      </c>
      <c r="J51" s="3" t="s">
        <v>2</v>
      </c>
      <c r="K51" s="11">
        <f>K50*$E$2</f>
        <v>0</v>
      </c>
      <c r="L51" s="3" t="s">
        <v>92</v>
      </c>
      <c r="M51" s="11" t="e">
        <f>M49+M50</f>
        <v>#DIV/0!</v>
      </c>
    </row>
    <row r="52" spans="2:13" ht="14.25" thickBot="1" x14ac:dyDescent="0.45">
      <c r="B52" s="25"/>
      <c r="C52" s="3"/>
      <c r="D52" s="7"/>
      <c r="E52" s="7"/>
      <c r="F52" s="7"/>
      <c r="H52" s="7"/>
      <c r="I52" s="11"/>
      <c r="J52" s="3" t="s">
        <v>4</v>
      </c>
      <c r="K52" s="11" t="e">
        <f>IF(M54&lt;=0,0,M54)</f>
        <v>#DIV/0!</v>
      </c>
      <c r="L52" s="4" t="s">
        <v>93</v>
      </c>
      <c r="M52" s="12" t="e">
        <f>M48-M51</f>
        <v>#DIV/0!</v>
      </c>
    </row>
    <row r="53" spans="2:13" ht="14.25" thickBot="1" x14ac:dyDescent="0.45">
      <c r="B53" s="25"/>
      <c r="C53" s="3" t="s">
        <v>50</v>
      </c>
      <c r="D53" s="1" t="s">
        <v>51</v>
      </c>
      <c r="E53" s="1" t="s">
        <v>52</v>
      </c>
      <c r="F53" s="1" t="s">
        <v>53</v>
      </c>
      <c r="G53" s="1" t="s">
        <v>54</v>
      </c>
      <c r="H53" s="1" t="s">
        <v>55</v>
      </c>
      <c r="I53" s="11" t="s">
        <v>56</v>
      </c>
      <c r="J53" s="3" t="s">
        <v>76</v>
      </c>
      <c r="K53" s="11" t="e">
        <f>SUM(K32:K52)</f>
        <v>#DIV/0!</v>
      </c>
      <c r="M53" s="11"/>
    </row>
    <row r="54" spans="2:13" ht="14.25" thickBot="1" x14ac:dyDescent="0.45">
      <c r="B54" s="26"/>
      <c r="C54" s="5"/>
      <c r="D54" s="9"/>
      <c r="E54" s="9"/>
      <c r="F54" s="8"/>
      <c r="G54" s="9"/>
      <c r="H54" s="8"/>
      <c r="I54" s="12"/>
      <c r="J54" s="4" t="s">
        <v>77</v>
      </c>
      <c r="K54" s="12" t="e">
        <f>K31-K53</f>
        <v>#DIV/0!</v>
      </c>
      <c r="L54" s="21" t="s">
        <v>5</v>
      </c>
      <c r="M54" s="22" t="e">
        <f>(K31/(1+$C$2)-SUM(K32:K51)+K50)*$G$2</f>
        <v>#DIV/0!</v>
      </c>
    </row>
    <row r="55" spans="2:13" ht="14.25" thickBot="1" x14ac:dyDescent="0.45"/>
    <row r="56" spans="2:13" ht="14.25" thickBot="1" x14ac:dyDescent="0.45">
      <c r="B56" s="24" t="s">
        <v>96</v>
      </c>
      <c r="C56" s="2"/>
      <c r="D56" s="6" t="s">
        <v>11</v>
      </c>
      <c r="E56" s="6" t="s">
        <v>12</v>
      </c>
      <c r="F56" s="6" t="s">
        <v>13</v>
      </c>
      <c r="G56" s="6" t="s">
        <v>14</v>
      </c>
      <c r="H56" s="6"/>
      <c r="I56" s="10"/>
      <c r="J56" s="27" t="s">
        <v>15</v>
      </c>
      <c r="K56" s="28"/>
      <c r="L56" s="27" t="s">
        <v>16</v>
      </c>
      <c r="M56" s="28"/>
    </row>
    <row r="57" spans="2:13" x14ac:dyDescent="0.4">
      <c r="B57" s="25"/>
      <c r="C57" s="3" t="s">
        <v>39</v>
      </c>
      <c r="I57" s="11"/>
      <c r="J57" s="2" t="s">
        <v>57</v>
      </c>
      <c r="K57" s="10">
        <f>D57*(F57+H47-H73)+D58*(F58+H48-H74)+D59*(F59+H49-H75)+D59*(F60+H50-H76)</f>
        <v>0</v>
      </c>
      <c r="L57" s="2" t="s">
        <v>57</v>
      </c>
      <c r="M57" s="10">
        <f>K57</f>
        <v>0</v>
      </c>
    </row>
    <row r="58" spans="2:13" x14ac:dyDescent="0.4">
      <c r="B58" s="25"/>
      <c r="C58" s="3" t="s">
        <v>40</v>
      </c>
      <c r="E58" s="7"/>
      <c r="I58" s="11"/>
      <c r="J58" s="3" t="s">
        <v>58</v>
      </c>
      <c r="K58" s="23">
        <f>D67</f>
        <v>0</v>
      </c>
      <c r="L58" s="3" t="s">
        <v>25</v>
      </c>
      <c r="M58" s="11">
        <f>G64</f>
        <v>0</v>
      </c>
    </row>
    <row r="59" spans="2:13" x14ac:dyDescent="0.4">
      <c r="B59" s="25"/>
      <c r="C59" s="3" t="s">
        <v>41</v>
      </c>
      <c r="E59" s="7"/>
      <c r="I59" s="11"/>
      <c r="J59" s="3" t="s">
        <v>59</v>
      </c>
      <c r="K59" s="11">
        <f>20000</f>
        <v>20000</v>
      </c>
      <c r="L59" s="3" t="s">
        <v>78</v>
      </c>
      <c r="M59" s="11">
        <f>M58+M57</f>
        <v>0</v>
      </c>
    </row>
    <row r="60" spans="2:13" x14ac:dyDescent="0.4">
      <c r="B60" s="25"/>
      <c r="C60" s="3" t="s">
        <v>42</v>
      </c>
      <c r="E60" s="7"/>
      <c r="I60" s="11"/>
      <c r="J60" s="3" t="s">
        <v>60</v>
      </c>
      <c r="K60" s="11">
        <f>1.4*D66</f>
        <v>0</v>
      </c>
      <c r="L60" s="3" t="s">
        <v>79</v>
      </c>
      <c r="M60" s="11" t="e">
        <f>K79-K61-K66-K67</f>
        <v>#DIV/0!</v>
      </c>
    </row>
    <row r="61" spans="2:13" x14ac:dyDescent="0.4">
      <c r="B61" s="25"/>
      <c r="C61" s="3"/>
      <c r="I61" s="11"/>
      <c r="J61" s="3" t="s">
        <v>61</v>
      </c>
      <c r="K61" s="11" t="e">
        <f>1.35*G69*D66</f>
        <v>#DIV/0!</v>
      </c>
      <c r="L61" s="3" t="s">
        <v>80</v>
      </c>
      <c r="M61" s="11">
        <f>(D62+D63)*G68</f>
        <v>0</v>
      </c>
    </row>
    <row r="62" spans="2:13" x14ac:dyDescent="0.4">
      <c r="B62" s="25"/>
      <c r="C62" s="3" t="s">
        <v>19</v>
      </c>
      <c r="D62" s="7"/>
      <c r="F62" s="1" t="s">
        <v>24</v>
      </c>
      <c r="G62" s="1">
        <f>D64*3</f>
        <v>0</v>
      </c>
      <c r="I62" s="11"/>
      <c r="J62" s="3" t="s">
        <v>62</v>
      </c>
      <c r="K62" s="11">
        <f>IF(SUM(D62:D63)&gt;0,200000,0)</f>
        <v>0</v>
      </c>
      <c r="L62" s="3" t="s">
        <v>81</v>
      </c>
      <c r="M62" s="11">
        <f>500000*D64</f>
        <v>0</v>
      </c>
    </row>
    <row r="63" spans="2:13" x14ac:dyDescent="0.4">
      <c r="B63" s="25"/>
      <c r="C63" s="3" t="s">
        <v>20</v>
      </c>
      <c r="D63" s="7"/>
      <c r="I63" s="11"/>
      <c r="J63" s="3" t="s">
        <v>63</v>
      </c>
      <c r="K63" s="11">
        <f>D63</f>
        <v>0</v>
      </c>
      <c r="L63" s="3" t="s">
        <v>27</v>
      </c>
      <c r="M63" s="11">
        <f>G65</f>
        <v>0</v>
      </c>
    </row>
    <row r="64" spans="2:13" x14ac:dyDescent="0.4">
      <c r="B64" s="25"/>
      <c r="C64" s="3" t="s">
        <v>21</v>
      </c>
      <c r="F64" s="1" t="s">
        <v>26</v>
      </c>
      <c r="I64" s="11"/>
      <c r="J64" s="3" t="s">
        <v>64</v>
      </c>
      <c r="K64" s="11">
        <f>12000*F54</f>
        <v>0</v>
      </c>
      <c r="L64" s="3" t="s">
        <v>82</v>
      </c>
      <c r="M64" s="11" t="e">
        <f>SUM(M60:M63)</f>
        <v>#DIV/0!</v>
      </c>
    </row>
    <row r="65" spans="2:13" x14ac:dyDescent="0.4">
      <c r="B65" s="25"/>
      <c r="C65" s="3"/>
      <c r="F65" s="1" t="s">
        <v>28</v>
      </c>
      <c r="I65" s="11"/>
      <c r="J65" s="3" t="s">
        <v>65</v>
      </c>
      <c r="K65" s="11">
        <f>100000*D64</f>
        <v>0</v>
      </c>
      <c r="L65" s="3" t="s">
        <v>83</v>
      </c>
      <c r="M65" s="11" t="e">
        <f>M59-M64</f>
        <v>#DIV/0!</v>
      </c>
    </row>
    <row r="66" spans="2:13" x14ac:dyDescent="0.4">
      <c r="B66" s="25"/>
      <c r="C66" s="3" t="s">
        <v>22</v>
      </c>
      <c r="D66" s="7"/>
      <c r="F66" s="1" t="s">
        <v>29</v>
      </c>
      <c r="G66" s="1" t="e">
        <f>M67</f>
        <v>#DIV/0!</v>
      </c>
      <c r="I66" s="11"/>
      <c r="J66" s="3" t="s">
        <v>66</v>
      </c>
      <c r="K66" s="11">
        <f>0.025*M47</f>
        <v>85312.5</v>
      </c>
      <c r="L66" s="3" t="s">
        <v>84</v>
      </c>
      <c r="M66" s="11" t="e">
        <f>IF(M76=0,M40+M65,K57/2)</f>
        <v>#DIV/0!</v>
      </c>
    </row>
    <row r="67" spans="2:13" ht="14.25" thickBot="1" x14ac:dyDescent="0.45">
      <c r="B67" s="25"/>
      <c r="C67" s="3" t="s">
        <v>23</v>
      </c>
      <c r="D67" s="7"/>
      <c r="I67" s="11"/>
      <c r="J67" s="3" t="s">
        <v>67</v>
      </c>
      <c r="K67" s="11">
        <f>M46-M72</f>
        <v>0</v>
      </c>
      <c r="L67" s="4" t="s">
        <v>29</v>
      </c>
      <c r="M67" s="12" t="e">
        <f>M40+G64+K57/2-M64</f>
        <v>#DIV/0!</v>
      </c>
    </row>
    <row r="68" spans="2:13" ht="14.25" thickBot="1" x14ac:dyDescent="0.45">
      <c r="B68" s="25"/>
      <c r="C68" s="3"/>
      <c r="F68" s="1" t="s">
        <v>30</v>
      </c>
      <c r="I68" s="11"/>
      <c r="J68" s="3" t="s">
        <v>68</v>
      </c>
      <c r="K68" s="11">
        <f>SUM(E57:E60)</f>
        <v>0</v>
      </c>
      <c r="M68" s="11"/>
    </row>
    <row r="69" spans="2:13" ht="14.25" thickBot="1" x14ac:dyDescent="0.45">
      <c r="B69" s="25"/>
      <c r="C69" s="3"/>
      <c r="F69" s="1" t="s">
        <v>31</v>
      </c>
      <c r="G69" s="1" t="e">
        <f>(M45+M61)/(G54+D62+D63)</f>
        <v>#DIV/0!</v>
      </c>
      <c r="I69" s="11"/>
      <c r="J69" s="3" t="s">
        <v>69</v>
      </c>
      <c r="K69" s="11">
        <f>0.5*F57+0.1*F58+0.4*(F59+F60)</f>
        <v>0</v>
      </c>
      <c r="L69" s="27" t="s">
        <v>17</v>
      </c>
      <c r="M69" s="28"/>
    </row>
    <row r="70" spans="2:13" ht="14.25" thickBot="1" x14ac:dyDescent="0.45">
      <c r="B70" s="25"/>
      <c r="C70" s="4"/>
      <c r="D70" s="8"/>
      <c r="E70" s="8"/>
      <c r="F70" s="8"/>
      <c r="G70" s="8"/>
      <c r="H70" s="8"/>
      <c r="I70" s="12"/>
      <c r="J70" s="3" t="s">
        <v>70</v>
      </c>
      <c r="K70" s="11">
        <f>1500*SUM(G57:G62)</f>
        <v>0</v>
      </c>
      <c r="L70" s="2" t="s">
        <v>85</v>
      </c>
      <c r="M70" s="10" t="e">
        <f>M66</f>
        <v>#DIV/0!</v>
      </c>
    </row>
    <row r="71" spans="2:13" ht="14.25" thickBot="1" x14ac:dyDescent="0.45">
      <c r="B71" s="25"/>
      <c r="C71" s="27" t="s">
        <v>18</v>
      </c>
      <c r="D71" s="29"/>
      <c r="E71" s="29"/>
      <c r="F71" s="29"/>
      <c r="G71" s="29"/>
      <c r="H71" s="29"/>
      <c r="I71" s="28"/>
      <c r="J71" s="3" t="s">
        <v>71</v>
      </c>
      <c r="K71" s="11">
        <f>3750*G62+7500*I54+4500*SUM(G57:G60)+9000*I52</f>
        <v>0</v>
      </c>
      <c r="L71" s="3" t="s">
        <v>86</v>
      </c>
      <c r="M71" s="11" t="e">
        <f>G69*(G54-1.35*D66+SUM(D62:D63))</f>
        <v>#DIV/0!</v>
      </c>
    </row>
    <row r="72" spans="2:13" x14ac:dyDescent="0.4">
      <c r="B72" s="25"/>
      <c r="C72" s="2" t="s">
        <v>32</v>
      </c>
      <c r="D72" s="6" t="s">
        <v>33</v>
      </c>
      <c r="E72" s="6" t="s">
        <v>34</v>
      </c>
      <c r="F72" s="6" t="s">
        <v>35</v>
      </c>
      <c r="G72" s="6" t="s">
        <v>36</v>
      </c>
      <c r="H72" s="6" t="s">
        <v>37</v>
      </c>
      <c r="I72" s="10" t="s">
        <v>38</v>
      </c>
      <c r="J72" s="3" t="s">
        <v>72</v>
      </c>
      <c r="K72" s="11">
        <f>0</f>
        <v>0</v>
      </c>
      <c r="L72" s="3" t="s">
        <v>87</v>
      </c>
      <c r="M72" s="11">
        <f>H52*4</f>
        <v>0</v>
      </c>
    </row>
    <row r="73" spans="2:13" x14ac:dyDescent="0.4">
      <c r="B73" s="25"/>
      <c r="C73" s="3" t="s">
        <v>39</v>
      </c>
      <c r="I73" s="11"/>
      <c r="J73" s="3" t="s">
        <v>73</v>
      </c>
      <c r="K73" s="11" t="e">
        <f>0.1*M45</f>
        <v>#DIV/0!</v>
      </c>
      <c r="L73" s="3" t="s">
        <v>88</v>
      </c>
      <c r="M73" s="11">
        <f>M47-K66+M62</f>
        <v>3327187.5</v>
      </c>
    </row>
    <row r="74" spans="2:13" x14ac:dyDescent="0.4">
      <c r="B74" s="25"/>
      <c r="C74" s="3" t="s">
        <v>40</v>
      </c>
      <c r="D74" s="7"/>
      <c r="E74" s="7"/>
      <c r="F74" s="7"/>
      <c r="H74" s="7"/>
      <c r="I74" s="11"/>
      <c r="J74" s="3" t="s">
        <v>74</v>
      </c>
      <c r="K74" s="11">
        <f>0.5*M46</f>
        <v>0</v>
      </c>
      <c r="L74" s="3" t="s">
        <v>89</v>
      </c>
      <c r="M74" s="11" t="e">
        <f>SUM(M70:M73)</f>
        <v>#DIV/0!</v>
      </c>
    </row>
    <row r="75" spans="2:13" x14ac:dyDescent="0.4">
      <c r="B75" s="25"/>
      <c r="C75" s="3" t="s">
        <v>41</v>
      </c>
      <c r="D75" s="7"/>
      <c r="E75" s="7"/>
      <c r="F75" s="7"/>
      <c r="I75" s="11"/>
      <c r="J75" s="3" t="s">
        <v>75</v>
      </c>
      <c r="K75" s="11" t="e">
        <f>$I$2/4*M75+$I$2/4*3*M50</f>
        <v>#DIV/0!</v>
      </c>
      <c r="L75" s="3" t="s">
        <v>90</v>
      </c>
      <c r="M75" s="11" t="e">
        <f>M51+G64-G65</f>
        <v>#DIV/0!</v>
      </c>
    </row>
    <row r="76" spans="2:13" x14ac:dyDescent="0.4">
      <c r="B76" s="25"/>
      <c r="C76" s="3" t="s">
        <v>42</v>
      </c>
      <c r="D76" s="7"/>
      <c r="E76" s="7"/>
      <c r="F76" s="7"/>
      <c r="I76" s="11"/>
      <c r="J76" s="3" t="s">
        <v>0</v>
      </c>
      <c r="K76" s="11">
        <f>K57/(1+$C$2)*$C$2</f>
        <v>0</v>
      </c>
      <c r="L76" s="3" t="s">
        <v>91</v>
      </c>
      <c r="M76" s="11" t="e">
        <f>IF(M67&gt;0,0,-M67)</f>
        <v>#DIV/0!</v>
      </c>
    </row>
    <row r="77" spans="2:13" x14ac:dyDescent="0.4">
      <c r="B77" s="25"/>
      <c r="C77" s="3" t="s">
        <v>43</v>
      </c>
      <c r="D77" s="1" t="s">
        <v>44</v>
      </c>
      <c r="E77" s="1" t="s">
        <v>45</v>
      </c>
      <c r="F77" s="1" t="s">
        <v>46</v>
      </c>
      <c r="G77" s="1" t="s">
        <v>47</v>
      </c>
      <c r="H77" s="1" t="s">
        <v>48</v>
      </c>
      <c r="I77" s="11" t="s">
        <v>49</v>
      </c>
      <c r="J77" s="3" t="s">
        <v>2</v>
      </c>
      <c r="K77" s="11">
        <f>K76*$E$2</f>
        <v>0</v>
      </c>
      <c r="L77" s="3" t="s">
        <v>92</v>
      </c>
      <c r="M77" s="11" t="e">
        <f>M75+M76</f>
        <v>#DIV/0!</v>
      </c>
    </row>
    <row r="78" spans="2:13" ht="14.25" thickBot="1" x14ac:dyDescent="0.45">
      <c r="B78" s="25"/>
      <c r="C78" s="3"/>
      <c r="D78" s="7"/>
      <c r="E78" s="7"/>
      <c r="F78" s="7"/>
      <c r="H78" s="7"/>
      <c r="I78" s="11"/>
      <c r="J78" s="3" t="s">
        <v>4</v>
      </c>
      <c r="K78" s="11" t="e">
        <f>IF(M80&lt;=0,0,M80)</f>
        <v>#DIV/0!</v>
      </c>
      <c r="L78" s="4" t="s">
        <v>93</v>
      </c>
      <c r="M78" s="12" t="e">
        <f>M74-M77</f>
        <v>#DIV/0!</v>
      </c>
    </row>
    <row r="79" spans="2:13" ht="14.25" thickBot="1" x14ac:dyDescent="0.45">
      <c r="B79" s="25"/>
      <c r="C79" s="3" t="s">
        <v>50</v>
      </c>
      <c r="D79" s="1" t="s">
        <v>51</v>
      </c>
      <c r="E79" s="1" t="s">
        <v>52</v>
      </c>
      <c r="F79" s="1" t="s">
        <v>53</v>
      </c>
      <c r="G79" s="1" t="s">
        <v>54</v>
      </c>
      <c r="H79" s="1" t="s">
        <v>55</v>
      </c>
      <c r="I79" s="11" t="s">
        <v>56</v>
      </c>
      <c r="J79" s="3" t="s">
        <v>76</v>
      </c>
      <c r="K79" s="11" t="e">
        <f>SUM(K58:K78)</f>
        <v>#DIV/0!</v>
      </c>
      <c r="M79" s="11"/>
    </row>
    <row r="80" spans="2:13" ht="14.25" thickBot="1" x14ac:dyDescent="0.45">
      <c r="B80" s="26"/>
      <c r="C80" s="5"/>
      <c r="D80" s="9"/>
      <c r="E80" s="9"/>
      <c r="F80" s="8"/>
      <c r="G80" s="9"/>
      <c r="H80" s="8"/>
      <c r="I80" s="12"/>
      <c r="J80" s="4" t="s">
        <v>77</v>
      </c>
      <c r="K80" s="12" t="e">
        <f>K57-K79</f>
        <v>#DIV/0!</v>
      </c>
      <c r="L80" s="21" t="s">
        <v>5</v>
      </c>
      <c r="M80" s="22" t="e">
        <f>(K57/(1+$C$2)-SUM(K58:K77)+K76)*$G$2</f>
        <v>#DIV/0!</v>
      </c>
    </row>
    <row r="81" spans="2:13" ht="14.25" thickBot="1" x14ac:dyDescent="0.45"/>
    <row r="82" spans="2:13" ht="14.25" thickBot="1" x14ac:dyDescent="0.45">
      <c r="B82" s="24" t="s">
        <v>97</v>
      </c>
      <c r="C82" s="2"/>
      <c r="D82" s="6" t="s">
        <v>11</v>
      </c>
      <c r="E82" s="6" t="s">
        <v>12</v>
      </c>
      <c r="F82" s="6" t="s">
        <v>13</v>
      </c>
      <c r="G82" s="6" t="s">
        <v>14</v>
      </c>
      <c r="H82" s="6"/>
      <c r="I82" s="10"/>
      <c r="J82" s="27" t="s">
        <v>15</v>
      </c>
      <c r="K82" s="28"/>
      <c r="L82" s="27" t="s">
        <v>16</v>
      </c>
      <c r="M82" s="28"/>
    </row>
    <row r="83" spans="2:13" x14ac:dyDescent="0.4">
      <c r="B83" s="25"/>
      <c r="C83" s="3" t="s">
        <v>39</v>
      </c>
      <c r="I83" s="11"/>
      <c r="J83" s="2" t="s">
        <v>57</v>
      </c>
      <c r="K83" s="10">
        <f>D83*(F83+H73-H99)+D84*(F84+H74-H100)+D85*(F85+H75-H101)+D85*(F86+H76-H102)</f>
        <v>0</v>
      </c>
      <c r="L83" s="2" t="s">
        <v>57</v>
      </c>
      <c r="M83" s="10">
        <f>K83</f>
        <v>0</v>
      </c>
    </row>
    <row r="84" spans="2:13" x14ac:dyDescent="0.4">
      <c r="B84" s="25"/>
      <c r="C84" s="3" t="s">
        <v>40</v>
      </c>
      <c r="E84" s="7"/>
      <c r="I84" s="11"/>
      <c r="J84" s="3" t="s">
        <v>58</v>
      </c>
      <c r="K84" s="23">
        <f>D93</f>
        <v>0</v>
      </c>
      <c r="L84" s="3" t="s">
        <v>25</v>
      </c>
      <c r="M84" s="11">
        <f>G90</f>
        <v>0</v>
      </c>
    </row>
    <row r="85" spans="2:13" x14ac:dyDescent="0.4">
      <c r="B85" s="25"/>
      <c r="C85" s="3" t="s">
        <v>41</v>
      </c>
      <c r="E85" s="7"/>
      <c r="I85" s="11"/>
      <c r="J85" s="3" t="s">
        <v>59</v>
      </c>
      <c r="K85" s="11">
        <f>20000</f>
        <v>20000</v>
      </c>
      <c r="L85" s="3" t="s">
        <v>78</v>
      </c>
      <c r="M85" s="11">
        <f>M84+M83</f>
        <v>0</v>
      </c>
    </row>
    <row r="86" spans="2:13" x14ac:dyDescent="0.4">
      <c r="B86" s="25"/>
      <c r="C86" s="3" t="s">
        <v>42</v>
      </c>
      <c r="E86" s="7"/>
      <c r="I86" s="11"/>
      <c r="J86" s="3" t="s">
        <v>60</v>
      </c>
      <c r="K86" s="11">
        <f>1.4*D92</f>
        <v>0</v>
      </c>
      <c r="L86" s="3" t="s">
        <v>79</v>
      </c>
      <c r="M86" s="11" t="e">
        <f>K105-K87-K92-K93</f>
        <v>#DIV/0!</v>
      </c>
    </row>
    <row r="87" spans="2:13" x14ac:dyDescent="0.4">
      <c r="B87" s="25"/>
      <c r="C87" s="3"/>
      <c r="I87" s="11"/>
      <c r="J87" s="3" t="s">
        <v>61</v>
      </c>
      <c r="K87" s="11" t="e">
        <f>1.35*G95*D92</f>
        <v>#DIV/0!</v>
      </c>
      <c r="L87" s="3" t="s">
        <v>80</v>
      </c>
      <c r="M87" s="11">
        <f>(D88+D89)*G94</f>
        <v>0</v>
      </c>
    </row>
    <row r="88" spans="2:13" x14ac:dyDescent="0.4">
      <c r="B88" s="25"/>
      <c r="C88" s="3" t="s">
        <v>19</v>
      </c>
      <c r="D88" s="7"/>
      <c r="F88" s="1" t="s">
        <v>24</v>
      </c>
      <c r="G88" s="1">
        <f>D90*3</f>
        <v>0</v>
      </c>
      <c r="I88" s="11"/>
      <c r="J88" s="3" t="s">
        <v>62</v>
      </c>
      <c r="K88" s="11">
        <f>IF(SUM(D88:D89)&gt;0,200000,0)</f>
        <v>0</v>
      </c>
      <c r="L88" s="3" t="s">
        <v>81</v>
      </c>
      <c r="M88" s="11">
        <f>500000*D90</f>
        <v>0</v>
      </c>
    </row>
    <row r="89" spans="2:13" x14ac:dyDescent="0.4">
      <c r="B89" s="25"/>
      <c r="C89" s="3" t="s">
        <v>20</v>
      </c>
      <c r="D89" s="7"/>
      <c r="I89" s="11"/>
      <c r="J89" s="3" t="s">
        <v>63</v>
      </c>
      <c r="K89" s="11">
        <f>D89</f>
        <v>0</v>
      </c>
      <c r="L89" s="3" t="s">
        <v>27</v>
      </c>
      <c r="M89" s="11">
        <f>G91</f>
        <v>0</v>
      </c>
    </row>
    <row r="90" spans="2:13" x14ac:dyDescent="0.4">
      <c r="B90" s="25"/>
      <c r="C90" s="3" t="s">
        <v>21</v>
      </c>
      <c r="F90" s="1" t="s">
        <v>26</v>
      </c>
      <c r="I90" s="11"/>
      <c r="J90" s="3" t="s">
        <v>64</v>
      </c>
      <c r="K90" s="11">
        <f>12000*F80</f>
        <v>0</v>
      </c>
      <c r="L90" s="3" t="s">
        <v>82</v>
      </c>
      <c r="M90" s="11" t="e">
        <f>SUM(M86:M89)</f>
        <v>#DIV/0!</v>
      </c>
    </row>
    <row r="91" spans="2:13" x14ac:dyDescent="0.4">
      <c r="B91" s="25"/>
      <c r="C91" s="3"/>
      <c r="F91" s="1" t="s">
        <v>28</v>
      </c>
      <c r="I91" s="11"/>
      <c r="J91" s="3" t="s">
        <v>65</v>
      </c>
      <c r="K91" s="11">
        <f>100000*D90</f>
        <v>0</v>
      </c>
      <c r="L91" s="3" t="s">
        <v>83</v>
      </c>
      <c r="M91" s="11" t="e">
        <f>M85-M90</f>
        <v>#DIV/0!</v>
      </c>
    </row>
    <row r="92" spans="2:13" x14ac:dyDescent="0.4">
      <c r="B92" s="25"/>
      <c r="C92" s="3" t="s">
        <v>22</v>
      </c>
      <c r="D92" s="7"/>
      <c r="F92" s="1" t="s">
        <v>29</v>
      </c>
      <c r="G92" s="1" t="e">
        <f>M93</f>
        <v>#DIV/0!</v>
      </c>
      <c r="I92" s="11"/>
      <c r="J92" s="3" t="s">
        <v>66</v>
      </c>
      <c r="K92" s="11">
        <f>0.025*M73</f>
        <v>83179.6875</v>
      </c>
      <c r="L92" s="3" t="s">
        <v>84</v>
      </c>
      <c r="M92" s="11" t="e">
        <f>IF(M102=0,M66+M91,K83/2)</f>
        <v>#DIV/0!</v>
      </c>
    </row>
    <row r="93" spans="2:13" ht="14.25" thickBot="1" x14ac:dyDescent="0.45">
      <c r="B93" s="25"/>
      <c r="C93" s="3" t="s">
        <v>23</v>
      </c>
      <c r="D93" s="7"/>
      <c r="I93" s="11"/>
      <c r="J93" s="3" t="s">
        <v>67</v>
      </c>
      <c r="K93" s="11">
        <f>M72-M98</f>
        <v>0</v>
      </c>
      <c r="L93" s="4" t="s">
        <v>29</v>
      </c>
      <c r="M93" s="12" t="e">
        <f>M66+G90+K83/2-M90</f>
        <v>#DIV/0!</v>
      </c>
    </row>
    <row r="94" spans="2:13" ht="14.25" thickBot="1" x14ac:dyDescent="0.45">
      <c r="B94" s="25"/>
      <c r="C94" s="3"/>
      <c r="F94" s="1" t="s">
        <v>30</v>
      </c>
      <c r="I94" s="11"/>
      <c r="J94" s="3" t="s">
        <v>68</v>
      </c>
      <c r="K94" s="11">
        <f>SUM(E83:E86)</f>
        <v>0</v>
      </c>
      <c r="M94" s="11"/>
    </row>
    <row r="95" spans="2:13" ht="14.25" thickBot="1" x14ac:dyDescent="0.45">
      <c r="B95" s="25"/>
      <c r="C95" s="3"/>
      <c r="F95" s="1" t="s">
        <v>31</v>
      </c>
      <c r="G95" s="1" t="e">
        <f>(M71+M87)/(G80+D88+D89)</f>
        <v>#DIV/0!</v>
      </c>
      <c r="I95" s="11"/>
      <c r="J95" s="3" t="s">
        <v>69</v>
      </c>
      <c r="K95" s="11">
        <f>0.5*F83+0.1*F84+0.4*(F85+F86)</f>
        <v>0</v>
      </c>
      <c r="L95" s="27" t="s">
        <v>17</v>
      </c>
      <c r="M95" s="28"/>
    </row>
    <row r="96" spans="2:13" ht="14.25" thickBot="1" x14ac:dyDescent="0.45">
      <c r="B96" s="25"/>
      <c r="C96" s="4"/>
      <c r="D96" s="8"/>
      <c r="E96" s="8"/>
      <c r="F96" s="8"/>
      <c r="G96" s="8"/>
      <c r="H96" s="8"/>
      <c r="I96" s="12"/>
      <c r="J96" s="3" t="s">
        <v>70</v>
      </c>
      <c r="K96" s="11">
        <f>1500*SUM(G83:G88)</f>
        <v>0</v>
      </c>
      <c r="L96" s="2" t="s">
        <v>85</v>
      </c>
      <c r="M96" s="10" t="e">
        <f>M92</f>
        <v>#DIV/0!</v>
      </c>
    </row>
    <row r="97" spans="2:13" ht="14.25" thickBot="1" x14ac:dyDescent="0.45">
      <c r="B97" s="25"/>
      <c r="C97" s="27" t="s">
        <v>18</v>
      </c>
      <c r="D97" s="29"/>
      <c r="E97" s="29"/>
      <c r="F97" s="29"/>
      <c r="G97" s="29"/>
      <c r="H97" s="29"/>
      <c r="I97" s="28"/>
      <c r="J97" s="3" t="s">
        <v>71</v>
      </c>
      <c r="K97" s="11">
        <f>3750*G88+7500*I80+4500*SUM(G83:G86)+9000*I78</f>
        <v>0</v>
      </c>
      <c r="L97" s="3" t="s">
        <v>86</v>
      </c>
      <c r="M97" s="11" t="e">
        <f>G95*(G80-1.35*D92+SUM(D88:D89))</f>
        <v>#DIV/0!</v>
      </c>
    </row>
    <row r="98" spans="2:13" x14ac:dyDescent="0.4">
      <c r="B98" s="25"/>
      <c r="C98" s="2" t="s">
        <v>32</v>
      </c>
      <c r="D98" s="6" t="s">
        <v>33</v>
      </c>
      <c r="E98" s="6" t="s">
        <v>34</v>
      </c>
      <c r="F98" s="6" t="s">
        <v>35</v>
      </c>
      <c r="G98" s="6" t="s">
        <v>36</v>
      </c>
      <c r="H98" s="6" t="s">
        <v>37</v>
      </c>
      <c r="I98" s="10" t="s">
        <v>38</v>
      </c>
      <c r="J98" s="3" t="s">
        <v>72</v>
      </c>
      <c r="K98" s="11">
        <f>0</f>
        <v>0</v>
      </c>
      <c r="L98" s="3" t="s">
        <v>87</v>
      </c>
      <c r="M98" s="11">
        <f>H78*4</f>
        <v>0</v>
      </c>
    </row>
    <row r="99" spans="2:13" x14ac:dyDescent="0.4">
      <c r="B99" s="25"/>
      <c r="C99" s="3" t="s">
        <v>39</v>
      </c>
      <c r="I99" s="11"/>
      <c r="J99" s="3" t="s">
        <v>73</v>
      </c>
      <c r="K99" s="11" t="e">
        <f>0.1*M71</f>
        <v>#DIV/0!</v>
      </c>
      <c r="L99" s="3" t="s">
        <v>88</v>
      </c>
      <c r="M99" s="11">
        <f>M73-K92+M88</f>
        <v>3244007.8125</v>
      </c>
    </row>
    <row r="100" spans="2:13" x14ac:dyDescent="0.4">
      <c r="B100" s="25"/>
      <c r="C100" s="3" t="s">
        <v>40</v>
      </c>
      <c r="D100" s="7"/>
      <c r="E100" s="7"/>
      <c r="F100" s="7"/>
      <c r="H100" s="7"/>
      <c r="I100" s="11"/>
      <c r="J100" s="3" t="s">
        <v>74</v>
      </c>
      <c r="K100" s="11">
        <f>0.5*M72</f>
        <v>0</v>
      </c>
      <c r="L100" s="3" t="s">
        <v>89</v>
      </c>
      <c r="M100" s="11" t="e">
        <f>SUM(M96:M99)</f>
        <v>#DIV/0!</v>
      </c>
    </row>
    <row r="101" spans="2:13" x14ac:dyDescent="0.4">
      <c r="B101" s="25"/>
      <c r="C101" s="3" t="s">
        <v>41</v>
      </c>
      <c r="D101" s="7"/>
      <c r="E101" s="7"/>
      <c r="F101" s="7"/>
      <c r="I101" s="11"/>
      <c r="J101" s="3" t="s">
        <v>75</v>
      </c>
      <c r="K101" s="11" t="e">
        <f>$I$2/4*M101+$I$2/4*3*M76</f>
        <v>#DIV/0!</v>
      </c>
      <c r="L101" s="3" t="s">
        <v>90</v>
      </c>
      <c r="M101" s="11" t="e">
        <f>M77+G90-G91</f>
        <v>#DIV/0!</v>
      </c>
    </row>
    <row r="102" spans="2:13" x14ac:dyDescent="0.4">
      <c r="B102" s="25"/>
      <c r="C102" s="3" t="s">
        <v>42</v>
      </c>
      <c r="D102" s="7"/>
      <c r="E102" s="7"/>
      <c r="F102" s="7"/>
      <c r="I102" s="11"/>
      <c r="J102" s="3" t="s">
        <v>0</v>
      </c>
      <c r="K102" s="11">
        <f>K83/(1+$C$2)*$C$2</f>
        <v>0</v>
      </c>
      <c r="L102" s="3" t="s">
        <v>91</v>
      </c>
      <c r="M102" s="11" t="e">
        <f>IF(M93&gt;0,0,-M93)</f>
        <v>#DIV/0!</v>
      </c>
    </row>
    <row r="103" spans="2:13" x14ac:dyDescent="0.4">
      <c r="B103" s="25"/>
      <c r="C103" s="3" t="s">
        <v>43</v>
      </c>
      <c r="D103" s="1" t="s">
        <v>44</v>
      </c>
      <c r="E103" s="1" t="s">
        <v>45</v>
      </c>
      <c r="F103" s="1" t="s">
        <v>46</v>
      </c>
      <c r="G103" s="1" t="s">
        <v>47</v>
      </c>
      <c r="H103" s="1" t="s">
        <v>48</v>
      </c>
      <c r="I103" s="11" t="s">
        <v>49</v>
      </c>
      <c r="J103" s="3" t="s">
        <v>2</v>
      </c>
      <c r="K103" s="11">
        <f>K102*$E$2</f>
        <v>0</v>
      </c>
      <c r="L103" s="3" t="s">
        <v>92</v>
      </c>
      <c r="M103" s="11" t="e">
        <f>M101+M102</f>
        <v>#DIV/0!</v>
      </c>
    </row>
    <row r="104" spans="2:13" ht="14.25" thickBot="1" x14ac:dyDescent="0.45">
      <c r="B104" s="25"/>
      <c r="C104" s="3"/>
      <c r="D104" s="7"/>
      <c r="E104" s="7"/>
      <c r="F104" s="7"/>
      <c r="H104" s="7"/>
      <c r="I104" s="11"/>
      <c r="J104" s="3" t="s">
        <v>4</v>
      </c>
      <c r="K104" s="11" t="e">
        <f>IF(M106&lt;=0,0,M106)</f>
        <v>#DIV/0!</v>
      </c>
      <c r="L104" s="4" t="s">
        <v>93</v>
      </c>
      <c r="M104" s="12" t="e">
        <f>M100-M103</f>
        <v>#DIV/0!</v>
      </c>
    </row>
    <row r="105" spans="2:13" ht="14.25" thickBot="1" x14ac:dyDescent="0.45">
      <c r="B105" s="25"/>
      <c r="C105" s="3" t="s">
        <v>50</v>
      </c>
      <c r="D105" s="1" t="s">
        <v>51</v>
      </c>
      <c r="E105" s="1" t="s">
        <v>52</v>
      </c>
      <c r="F105" s="1" t="s">
        <v>53</v>
      </c>
      <c r="G105" s="1" t="s">
        <v>54</v>
      </c>
      <c r="H105" s="1" t="s">
        <v>55</v>
      </c>
      <c r="I105" s="11" t="s">
        <v>56</v>
      </c>
      <c r="J105" s="3" t="s">
        <v>76</v>
      </c>
      <c r="K105" s="11" t="e">
        <f>SUM(K84:K104)</f>
        <v>#DIV/0!</v>
      </c>
      <c r="M105" s="11"/>
    </row>
    <row r="106" spans="2:13" ht="14.25" thickBot="1" x14ac:dyDescent="0.45">
      <c r="B106" s="26"/>
      <c r="C106" s="5"/>
      <c r="D106" s="9"/>
      <c r="E106" s="9"/>
      <c r="F106" s="8"/>
      <c r="G106" s="9"/>
      <c r="H106" s="8"/>
      <c r="I106" s="12"/>
      <c r="J106" s="4" t="s">
        <v>77</v>
      </c>
      <c r="K106" s="12" t="e">
        <f>K83-K105</f>
        <v>#DIV/0!</v>
      </c>
      <c r="L106" s="21" t="s">
        <v>5</v>
      </c>
      <c r="M106" s="22" t="e">
        <f>(K83/(1+$C$2)-SUM(K84:K103)+K102)*$G$2</f>
        <v>#DIV/0!</v>
      </c>
    </row>
    <row r="107" spans="2:13" ht="14.25" thickBot="1" x14ac:dyDescent="0.45"/>
    <row r="108" spans="2:13" ht="14.25" thickBot="1" x14ac:dyDescent="0.45">
      <c r="B108" s="24" t="s">
        <v>98</v>
      </c>
      <c r="C108" s="2"/>
      <c r="D108" s="6" t="s">
        <v>11</v>
      </c>
      <c r="E108" s="6" t="s">
        <v>12</v>
      </c>
      <c r="F108" s="6" t="s">
        <v>13</v>
      </c>
      <c r="G108" s="6" t="s">
        <v>14</v>
      </c>
      <c r="H108" s="6"/>
      <c r="I108" s="10"/>
      <c r="J108" s="27" t="s">
        <v>15</v>
      </c>
      <c r="K108" s="28"/>
      <c r="L108" s="27" t="s">
        <v>16</v>
      </c>
      <c r="M108" s="28"/>
    </row>
    <row r="109" spans="2:13" x14ac:dyDescent="0.4">
      <c r="B109" s="25"/>
      <c r="C109" s="3" t="s">
        <v>39</v>
      </c>
      <c r="I109" s="11"/>
      <c r="J109" s="2" t="s">
        <v>57</v>
      </c>
      <c r="K109" s="10">
        <f>D109*(F109+H99-H125)+D110*(F110+H100-H126)+D111*(F111+H101-H127)+D111*(F112+H102-H128)</f>
        <v>0</v>
      </c>
      <c r="L109" s="2" t="s">
        <v>57</v>
      </c>
      <c r="M109" s="10">
        <f>K109</f>
        <v>0</v>
      </c>
    </row>
    <row r="110" spans="2:13" x14ac:dyDescent="0.4">
      <c r="B110" s="25"/>
      <c r="C110" s="3" t="s">
        <v>40</v>
      </c>
      <c r="E110" s="7"/>
      <c r="I110" s="11"/>
      <c r="J110" s="3" t="s">
        <v>58</v>
      </c>
      <c r="K110" s="23">
        <f>D119</f>
        <v>0</v>
      </c>
      <c r="L110" s="3" t="s">
        <v>25</v>
      </c>
      <c r="M110" s="11">
        <f>G116</f>
        <v>0</v>
      </c>
    </row>
    <row r="111" spans="2:13" x14ac:dyDescent="0.4">
      <c r="B111" s="25"/>
      <c r="C111" s="3" t="s">
        <v>41</v>
      </c>
      <c r="E111" s="7"/>
      <c r="I111" s="11"/>
      <c r="J111" s="3" t="s">
        <v>59</v>
      </c>
      <c r="K111" s="11">
        <f>20000</f>
        <v>20000</v>
      </c>
      <c r="L111" s="3" t="s">
        <v>78</v>
      </c>
      <c r="M111" s="11">
        <f>M110+M109</f>
        <v>0</v>
      </c>
    </row>
    <row r="112" spans="2:13" x14ac:dyDescent="0.4">
      <c r="B112" s="25"/>
      <c r="C112" s="3" t="s">
        <v>42</v>
      </c>
      <c r="E112" s="7"/>
      <c r="I112" s="11"/>
      <c r="J112" s="3" t="s">
        <v>60</v>
      </c>
      <c r="K112" s="11">
        <f>1.4*D118</f>
        <v>0</v>
      </c>
      <c r="L112" s="3" t="s">
        <v>79</v>
      </c>
      <c r="M112" s="11" t="e">
        <f>K131-K113-K118-K119</f>
        <v>#DIV/0!</v>
      </c>
    </row>
    <row r="113" spans="2:13" x14ac:dyDescent="0.4">
      <c r="B113" s="25"/>
      <c r="C113" s="3"/>
      <c r="I113" s="11"/>
      <c r="J113" s="3" t="s">
        <v>61</v>
      </c>
      <c r="K113" s="11" t="e">
        <f>1.35*G121*D118</f>
        <v>#DIV/0!</v>
      </c>
      <c r="L113" s="3" t="s">
        <v>80</v>
      </c>
      <c r="M113" s="11">
        <f>(D114+D115)*G120</f>
        <v>0</v>
      </c>
    </row>
    <row r="114" spans="2:13" x14ac:dyDescent="0.4">
      <c r="B114" s="25"/>
      <c r="C114" s="3" t="s">
        <v>19</v>
      </c>
      <c r="D114" s="7"/>
      <c r="F114" s="1" t="s">
        <v>24</v>
      </c>
      <c r="G114" s="1">
        <f>D116*3</f>
        <v>0</v>
      </c>
      <c r="I114" s="11"/>
      <c r="J114" s="3" t="s">
        <v>62</v>
      </c>
      <c r="K114" s="11">
        <f>IF(SUM(D114:D115)&gt;0,200000,0)</f>
        <v>0</v>
      </c>
      <c r="L114" s="3" t="s">
        <v>81</v>
      </c>
      <c r="M114" s="11">
        <f>500000*D116</f>
        <v>0</v>
      </c>
    </row>
    <row r="115" spans="2:13" x14ac:dyDescent="0.4">
      <c r="B115" s="25"/>
      <c r="C115" s="3" t="s">
        <v>20</v>
      </c>
      <c r="D115" s="7"/>
      <c r="I115" s="11"/>
      <c r="J115" s="3" t="s">
        <v>63</v>
      </c>
      <c r="K115" s="11">
        <f>D115</f>
        <v>0</v>
      </c>
      <c r="L115" s="3" t="s">
        <v>27</v>
      </c>
      <c r="M115" s="11">
        <f>G117</f>
        <v>0</v>
      </c>
    </row>
    <row r="116" spans="2:13" x14ac:dyDescent="0.4">
      <c r="B116" s="25"/>
      <c r="C116" s="3" t="s">
        <v>21</v>
      </c>
      <c r="F116" s="1" t="s">
        <v>26</v>
      </c>
      <c r="I116" s="11"/>
      <c r="J116" s="3" t="s">
        <v>64</v>
      </c>
      <c r="K116" s="11">
        <f>12000*F106</f>
        <v>0</v>
      </c>
      <c r="L116" s="3" t="s">
        <v>82</v>
      </c>
      <c r="M116" s="11" t="e">
        <f>SUM(M112:M115)</f>
        <v>#DIV/0!</v>
      </c>
    </row>
    <row r="117" spans="2:13" x14ac:dyDescent="0.4">
      <c r="B117" s="25"/>
      <c r="C117" s="3"/>
      <c r="F117" s="1" t="s">
        <v>28</v>
      </c>
      <c r="I117" s="11"/>
      <c r="J117" s="3" t="s">
        <v>65</v>
      </c>
      <c r="K117" s="11">
        <f>100000*D116</f>
        <v>0</v>
      </c>
      <c r="L117" s="3" t="s">
        <v>83</v>
      </c>
      <c r="M117" s="11" t="e">
        <f>M111-M116</f>
        <v>#DIV/0!</v>
      </c>
    </row>
    <row r="118" spans="2:13" x14ac:dyDescent="0.4">
      <c r="B118" s="25"/>
      <c r="C118" s="3" t="s">
        <v>22</v>
      </c>
      <c r="D118" s="7"/>
      <c r="F118" s="1" t="s">
        <v>29</v>
      </c>
      <c r="G118" s="1" t="e">
        <f>M119</f>
        <v>#DIV/0!</v>
      </c>
      <c r="I118" s="11"/>
      <c r="J118" s="3" t="s">
        <v>66</v>
      </c>
      <c r="K118" s="11">
        <f>0.025*M99</f>
        <v>81100.1953125</v>
      </c>
      <c r="L118" s="3" t="s">
        <v>84</v>
      </c>
      <c r="M118" s="11" t="e">
        <f>IF(M128=0,M92+M117,K109/2)</f>
        <v>#DIV/0!</v>
      </c>
    </row>
    <row r="119" spans="2:13" ht="14.25" thickBot="1" x14ac:dyDescent="0.45">
      <c r="B119" s="25"/>
      <c r="C119" s="3" t="s">
        <v>23</v>
      </c>
      <c r="D119" s="7"/>
      <c r="I119" s="11"/>
      <c r="J119" s="3" t="s">
        <v>67</v>
      </c>
      <c r="K119" s="11">
        <f>M98-M124</f>
        <v>0</v>
      </c>
      <c r="L119" s="4" t="s">
        <v>29</v>
      </c>
      <c r="M119" s="12" t="e">
        <f>M92+G116+K109/2-M116</f>
        <v>#DIV/0!</v>
      </c>
    </row>
    <row r="120" spans="2:13" ht="14.25" thickBot="1" x14ac:dyDescent="0.45">
      <c r="B120" s="25"/>
      <c r="C120" s="3"/>
      <c r="F120" s="1" t="s">
        <v>30</v>
      </c>
      <c r="I120" s="11"/>
      <c r="J120" s="3" t="s">
        <v>68</v>
      </c>
      <c r="K120" s="11">
        <f>SUM(E109:E112)</f>
        <v>0</v>
      </c>
      <c r="M120" s="11"/>
    </row>
    <row r="121" spans="2:13" ht="14.25" thickBot="1" x14ac:dyDescent="0.45">
      <c r="B121" s="25"/>
      <c r="C121" s="3"/>
      <c r="F121" s="1" t="s">
        <v>31</v>
      </c>
      <c r="G121" s="1" t="e">
        <f>(M97+M113)/(G106+D114+D115)</f>
        <v>#DIV/0!</v>
      </c>
      <c r="I121" s="11"/>
      <c r="J121" s="3" t="s">
        <v>69</v>
      </c>
      <c r="K121" s="11">
        <f>0.5*F109+0.1*F110+0.4*(F111+F112)</f>
        <v>0</v>
      </c>
      <c r="L121" s="27" t="s">
        <v>17</v>
      </c>
      <c r="M121" s="28"/>
    </row>
    <row r="122" spans="2:13" ht="14.25" thickBot="1" x14ac:dyDescent="0.45">
      <c r="B122" s="25"/>
      <c r="C122" s="4"/>
      <c r="D122" s="8"/>
      <c r="E122" s="8"/>
      <c r="F122" s="8"/>
      <c r="G122" s="8"/>
      <c r="H122" s="8"/>
      <c r="I122" s="12"/>
      <c r="J122" s="3" t="s">
        <v>70</v>
      </c>
      <c r="K122" s="11">
        <f>1500*SUM(G109:G114)</f>
        <v>0</v>
      </c>
      <c r="L122" s="2" t="s">
        <v>85</v>
      </c>
      <c r="M122" s="10" t="e">
        <f>M118</f>
        <v>#DIV/0!</v>
      </c>
    </row>
    <row r="123" spans="2:13" ht="14.25" thickBot="1" x14ac:dyDescent="0.45">
      <c r="B123" s="25"/>
      <c r="C123" s="27" t="s">
        <v>18</v>
      </c>
      <c r="D123" s="29"/>
      <c r="E123" s="29"/>
      <c r="F123" s="29"/>
      <c r="G123" s="29"/>
      <c r="H123" s="29"/>
      <c r="I123" s="28"/>
      <c r="J123" s="3" t="s">
        <v>71</v>
      </c>
      <c r="K123" s="11">
        <f>3750*G114+7500*I106+4500*SUM(G109:G112)+9000*I104</f>
        <v>0</v>
      </c>
      <c r="L123" s="3" t="s">
        <v>86</v>
      </c>
      <c r="M123" s="11" t="e">
        <f>G121*(G106-1.35*D118+SUM(D114:D115))</f>
        <v>#DIV/0!</v>
      </c>
    </row>
    <row r="124" spans="2:13" x14ac:dyDescent="0.4">
      <c r="B124" s="25"/>
      <c r="C124" s="2" t="s">
        <v>32</v>
      </c>
      <c r="D124" s="6" t="s">
        <v>33</v>
      </c>
      <c r="E124" s="6" t="s">
        <v>34</v>
      </c>
      <c r="F124" s="6" t="s">
        <v>35</v>
      </c>
      <c r="G124" s="6" t="s">
        <v>36</v>
      </c>
      <c r="H124" s="6" t="s">
        <v>37</v>
      </c>
      <c r="I124" s="10" t="s">
        <v>38</v>
      </c>
      <c r="J124" s="3" t="s">
        <v>72</v>
      </c>
      <c r="K124" s="11">
        <f>0</f>
        <v>0</v>
      </c>
      <c r="L124" s="3" t="s">
        <v>87</v>
      </c>
      <c r="M124" s="11">
        <f>H104*4</f>
        <v>0</v>
      </c>
    </row>
    <row r="125" spans="2:13" x14ac:dyDescent="0.4">
      <c r="B125" s="25"/>
      <c r="C125" s="3" t="s">
        <v>39</v>
      </c>
      <c r="I125" s="11"/>
      <c r="J125" s="3" t="s">
        <v>73</v>
      </c>
      <c r="K125" s="11" t="e">
        <f>0.1*M97</f>
        <v>#DIV/0!</v>
      </c>
      <c r="L125" s="3" t="s">
        <v>88</v>
      </c>
      <c r="M125" s="11">
        <f>M99-K118+M114</f>
        <v>3162907.6171875</v>
      </c>
    </row>
    <row r="126" spans="2:13" x14ac:dyDescent="0.4">
      <c r="B126" s="25"/>
      <c r="C126" s="3" t="s">
        <v>40</v>
      </c>
      <c r="D126" s="7"/>
      <c r="E126" s="7"/>
      <c r="F126" s="7"/>
      <c r="H126" s="7"/>
      <c r="I126" s="11"/>
      <c r="J126" s="3" t="s">
        <v>74</v>
      </c>
      <c r="K126" s="11">
        <f>0.5*M98</f>
        <v>0</v>
      </c>
      <c r="L126" s="3" t="s">
        <v>89</v>
      </c>
      <c r="M126" s="11" t="e">
        <f>SUM(M122:M125)</f>
        <v>#DIV/0!</v>
      </c>
    </row>
    <row r="127" spans="2:13" x14ac:dyDescent="0.4">
      <c r="B127" s="25"/>
      <c r="C127" s="3" t="s">
        <v>41</v>
      </c>
      <c r="D127" s="7"/>
      <c r="E127" s="7"/>
      <c r="F127" s="7"/>
      <c r="I127" s="11"/>
      <c r="J127" s="3" t="s">
        <v>75</v>
      </c>
      <c r="K127" s="11" t="e">
        <f>$I$2/4*M127+$I$2/4*3*M102</f>
        <v>#DIV/0!</v>
      </c>
      <c r="L127" s="3" t="s">
        <v>90</v>
      </c>
      <c r="M127" s="11" t="e">
        <f>M103+G116-G117</f>
        <v>#DIV/0!</v>
      </c>
    </row>
    <row r="128" spans="2:13" x14ac:dyDescent="0.4">
      <c r="B128" s="25"/>
      <c r="C128" s="3" t="s">
        <v>42</v>
      </c>
      <c r="D128" s="7"/>
      <c r="E128" s="7"/>
      <c r="F128" s="7"/>
      <c r="I128" s="11"/>
      <c r="J128" s="3" t="s">
        <v>0</v>
      </c>
      <c r="K128" s="11">
        <f>K109/(1+$C$2)*$C$2</f>
        <v>0</v>
      </c>
      <c r="L128" s="3" t="s">
        <v>91</v>
      </c>
      <c r="M128" s="11" t="e">
        <f>IF(M119&gt;0,0,-M119)</f>
        <v>#DIV/0!</v>
      </c>
    </row>
    <row r="129" spans="2:13" x14ac:dyDescent="0.4">
      <c r="B129" s="25"/>
      <c r="C129" s="3" t="s">
        <v>43</v>
      </c>
      <c r="D129" s="1" t="s">
        <v>44</v>
      </c>
      <c r="E129" s="1" t="s">
        <v>45</v>
      </c>
      <c r="F129" s="1" t="s">
        <v>46</v>
      </c>
      <c r="G129" s="1" t="s">
        <v>47</v>
      </c>
      <c r="H129" s="1" t="s">
        <v>48</v>
      </c>
      <c r="I129" s="11" t="s">
        <v>49</v>
      </c>
      <c r="J129" s="3" t="s">
        <v>2</v>
      </c>
      <c r="K129" s="11">
        <f>K128*$E$2</f>
        <v>0</v>
      </c>
      <c r="L129" s="3" t="s">
        <v>92</v>
      </c>
      <c r="M129" s="11" t="e">
        <f>M127+M128</f>
        <v>#DIV/0!</v>
      </c>
    </row>
    <row r="130" spans="2:13" ht="14.25" thickBot="1" x14ac:dyDescent="0.45">
      <c r="B130" s="25"/>
      <c r="C130" s="3"/>
      <c r="D130" s="7"/>
      <c r="E130" s="7"/>
      <c r="F130" s="7"/>
      <c r="H130" s="7"/>
      <c r="I130" s="11"/>
      <c r="J130" s="3" t="s">
        <v>4</v>
      </c>
      <c r="K130" s="11" t="e">
        <f>IF(M132&lt;=0,0,M132)</f>
        <v>#DIV/0!</v>
      </c>
      <c r="L130" s="4" t="s">
        <v>93</v>
      </c>
      <c r="M130" s="12" t="e">
        <f>M126-M129</f>
        <v>#DIV/0!</v>
      </c>
    </row>
    <row r="131" spans="2:13" ht="14.25" thickBot="1" x14ac:dyDescent="0.45">
      <c r="B131" s="25"/>
      <c r="C131" s="3" t="s">
        <v>50</v>
      </c>
      <c r="D131" s="1" t="s">
        <v>51</v>
      </c>
      <c r="E131" s="1" t="s">
        <v>52</v>
      </c>
      <c r="F131" s="1" t="s">
        <v>53</v>
      </c>
      <c r="G131" s="1" t="s">
        <v>54</v>
      </c>
      <c r="H131" s="1" t="s">
        <v>55</v>
      </c>
      <c r="I131" s="11" t="s">
        <v>56</v>
      </c>
      <c r="J131" s="3" t="s">
        <v>76</v>
      </c>
      <c r="K131" s="11" t="e">
        <f>SUM(K110:K130)</f>
        <v>#DIV/0!</v>
      </c>
      <c r="M131" s="11"/>
    </row>
    <row r="132" spans="2:13" ht="14.25" thickBot="1" x14ac:dyDescent="0.45">
      <c r="B132" s="26"/>
      <c r="C132" s="5"/>
      <c r="D132" s="9"/>
      <c r="E132" s="9"/>
      <c r="F132" s="8"/>
      <c r="G132" s="9"/>
      <c r="H132" s="8"/>
      <c r="I132" s="12"/>
      <c r="J132" s="4" t="s">
        <v>77</v>
      </c>
      <c r="K132" s="12" t="e">
        <f>K109-K131</f>
        <v>#DIV/0!</v>
      </c>
      <c r="L132" s="21" t="s">
        <v>5</v>
      </c>
      <c r="M132" s="22" t="e">
        <f>(K109/(1+$C$2)-SUM(K110:K129)+K128)*$G$2</f>
        <v>#DIV/0!</v>
      </c>
    </row>
    <row r="133" spans="2:13" ht="14.25" thickBot="1" x14ac:dyDescent="0.45"/>
    <row r="134" spans="2:13" ht="14.25" thickBot="1" x14ac:dyDescent="0.45">
      <c r="B134" s="24" t="s">
        <v>99</v>
      </c>
      <c r="C134" s="2"/>
      <c r="D134" s="6" t="s">
        <v>11</v>
      </c>
      <c r="E134" s="6" t="s">
        <v>12</v>
      </c>
      <c r="F134" s="6" t="s">
        <v>13</v>
      </c>
      <c r="G134" s="6" t="s">
        <v>14</v>
      </c>
      <c r="H134" s="6"/>
      <c r="I134" s="10"/>
      <c r="J134" s="27" t="s">
        <v>15</v>
      </c>
      <c r="K134" s="28"/>
      <c r="L134" s="27" t="s">
        <v>16</v>
      </c>
      <c r="M134" s="28"/>
    </row>
    <row r="135" spans="2:13" x14ac:dyDescent="0.4">
      <c r="B135" s="25"/>
      <c r="C135" s="3" t="s">
        <v>39</v>
      </c>
      <c r="I135" s="11"/>
      <c r="J135" s="2" t="s">
        <v>57</v>
      </c>
      <c r="K135" s="10">
        <f>D135*(F135+H125-H151)+D136*(F136+H126-H152)+D137*(F137+H127-H153)+D137*(F138+H128-H154)</f>
        <v>0</v>
      </c>
      <c r="L135" s="2" t="s">
        <v>57</v>
      </c>
      <c r="M135" s="10">
        <f>K135</f>
        <v>0</v>
      </c>
    </row>
    <row r="136" spans="2:13" x14ac:dyDescent="0.4">
      <c r="B136" s="25"/>
      <c r="C136" s="3" t="s">
        <v>40</v>
      </c>
      <c r="E136" s="7"/>
      <c r="I136" s="11"/>
      <c r="J136" s="3" t="s">
        <v>58</v>
      </c>
      <c r="K136" s="23">
        <f>D145</f>
        <v>0</v>
      </c>
      <c r="L136" s="3" t="s">
        <v>25</v>
      </c>
      <c r="M136" s="11">
        <f>G142</f>
        <v>0</v>
      </c>
    </row>
    <row r="137" spans="2:13" x14ac:dyDescent="0.4">
      <c r="B137" s="25"/>
      <c r="C137" s="3" t="s">
        <v>41</v>
      </c>
      <c r="E137" s="7"/>
      <c r="I137" s="11"/>
      <c r="J137" s="3" t="s">
        <v>59</v>
      </c>
      <c r="K137" s="11">
        <f>20000</f>
        <v>20000</v>
      </c>
      <c r="L137" s="3" t="s">
        <v>78</v>
      </c>
      <c r="M137" s="11">
        <f>M136+M135</f>
        <v>0</v>
      </c>
    </row>
    <row r="138" spans="2:13" x14ac:dyDescent="0.4">
      <c r="B138" s="25"/>
      <c r="C138" s="3" t="s">
        <v>42</v>
      </c>
      <c r="E138" s="7"/>
      <c r="I138" s="11"/>
      <c r="J138" s="3" t="s">
        <v>60</v>
      </c>
      <c r="K138" s="11">
        <f>1.4*D144</f>
        <v>0</v>
      </c>
      <c r="L138" s="3" t="s">
        <v>79</v>
      </c>
      <c r="M138" s="11" t="e">
        <f>K157-K139-K144-K145</f>
        <v>#DIV/0!</v>
      </c>
    </row>
    <row r="139" spans="2:13" x14ac:dyDescent="0.4">
      <c r="B139" s="25"/>
      <c r="C139" s="3"/>
      <c r="I139" s="11"/>
      <c r="J139" s="3" t="s">
        <v>61</v>
      </c>
      <c r="K139" s="11" t="e">
        <f>1.35*G147*D144</f>
        <v>#DIV/0!</v>
      </c>
      <c r="L139" s="3" t="s">
        <v>80</v>
      </c>
      <c r="M139" s="11">
        <f>(D140+D141)*G146</f>
        <v>0</v>
      </c>
    </row>
    <row r="140" spans="2:13" x14ac:dyDescent="0.4">
      <c r="B140" s="25"/>
      <c r="C140" s="3" t="s">
        <v>19</v>
      </c>
      <c r="D140" s="7"/>
      <c r="F140" s="1" t="s">
        <v>24</v>
      </c>
      <c r="G140" s="1">
        <f>D142*3</f>
        <v>0</v>
      </c>
      <c r="I140" s="11"/>
      <c r="J140" s="3" t="s">
        <v>62</v>
      </c>
      <c r="K140" s="11">
        <f>IF(SUM(D140:D141)&gt;0,200000,0)</f>
        <v>0</v>
      </c>
      <c r="L140" s="3" t="s">
        <v>81</v>
      </c>
      <c r="M140" s="11">
        <f>500000*D142</f>
        <v>0</v>
      </c>
    </row>
    <row r="141" spans="2:13" x14ac:dyDescent="0.4">
      <c r="B141" s="25"/>
      <c r="C141" s="3" t="s">
        <v>20</v>
      </c>
      <c r="D141" s="7"/>
      <c r="I141" s="11"/>
      <c r="J141" s="3" t="s">
        <v>63</v>
      </c>
      <c r="K141" s="11">
        <f>D141</f>
        <v>0</v>
      </c>
      <c r="L141" s="3" t="s">
        <v>27</v>
      </c>
      <c r="M141" s="11">
        <f>G143</f>
        <v>0</v>
      </c>
    </row>
    <row r="142" spans="2:13" x14ac:dyDescent="0.4">
      <c r="B142" s="25"/>
      <c r="C142" s="3" t="s">
        <v>21</v>
      </c>
      <c r="F142" s="1" t="s">
        <v>26</v>
      </c>
      <c r="I142" s="11"/>
      <c r="J142" s="3" t="s">
        <v>64</v>
      </c>
      <c r="K142" s="11">
        <f>12000*F132</f>
        <v>0</v>
      </c>
      <c r="L142" s="3" t="s">
        <v>82</v>
      </c>
      <c r="M142" s="11" t="e">
        <f>SUM(M138:M141)</f>
        <v>#DIV/0!</v>
      </c>
    </row>
    <row r="143" spans="2:13" x14ac:dyDescent="0.4">
      <c r="B143" s="25"/>
      <c r="C143" s="3"/>
      <c r="F143" s="1" t="s">
        <v>28</v>
      </c>
      <c r="I143" s="11"/>
      <c r="J143" s="3" t="s">
        <v>65</v>
      </c>
      <c r="K143" s="11">
        <f>100000*D142</f>
        <v>0</v>
      </c>
      <c r="L143" s="3" t="s">
        <v>83</v>
      </c>
      <c r="M143" s="11" t="e">
        <f>M137-M142</f>
        <v>#DIV/0!</v>
      </c>
    </row>
    <row r="144" spans="2:13" x14ac:dyDescent="0.4">
      <c r="B144" s="25"/>
      <c r="C144" s="3" t="s">
        <v>22</v>
      </c>
      <c r="D144" s="7"/>
      <c r="F144" s="1" t="s">
        <v>29</v>
      </c>
      <c r="G144" s="1" t="e">
        <f>M145</f>
        <v>#DIV/0!</v>
      </c>
      <c r="I144" s="11"/>
      <c r="J144" s="3" t="s">
        <v>66</v>
      </c>
      <c r="K144" s="11">
        <f>0.025*M125</f>
        <v>79072.6904296875</v>
      </c>
      <c r="L144" s="3" t="s">
        <v>84</v>
      </c>
      <c r="M144" s="11" t="e">
        <f>IF(M154=0,M118+M143,K135/2)</f>
        <v>#DIV/0!</v>
      </c>
    </row>
    <row r="145" spans="2:13" ht="14.25" thickBot="1" x14ac:dyDescent="0.45">
      <c r="B145" s="25"/>
      <c r="C145" s="3" t="s">
        <v>23</v>
      </c>
      <c r="D145" s="7"/>
      <c r="I145" s="11"/>
      <c r="J145" s="3" t="s">
        <v>67</v>
      </c>
      <c r="K145" s="11">
        <f>M124-M150</f>
        <v>0</v>
      </c>
      <c r="L145" s="4" t="s">
        <v>29</v>
      </c>
      <c r="M145" s="12" t="e">
        <f>M118+G142+K135/2-M142</f>
        <v>#DIV/0!</v>
      </c>
    </row>
    <row r="146" spans="2:13" ht="14.25" thickBot="1" x14ac:dyDescent="0.45">
      <c r="B146" s="25"/>
      <c r="C146" s="3"/>
      <c r="F146" s="1" t="s">
        <v>30</v>
      </c>
      <c r="I146" s="11"/>
      <c r="J146" s="3" t="s">
        <v>68</v>
      </c>
      <c r="K146" s="11">
        <f>SUM(E135:E138)</f>
        <v>0</v>
      </c>
      <c r="M146" s="11"/>
    </row>
    <row r="147" spans="2:13" ht="14.25" thickBot="1" x14ac:dyDescent="0.45">
      <c r="B147" s="25"/>
      <c r="C147" s="3"/>
      <c r="F147" s="1" t="s">
        <v>31</v>
      </c>
      <c r="G147" s="1" t="e">
        <f>(M123+M139)/(G132+D140+D141)</f>
        <v>#DIV/0!</v>
      </c>
      <c r="I147" s="11"/>
      <c r="J147" s="3" t="s">
        <v>69</v>
      </c>
      <c r="K147" s="11">
        <f>0.5*F135+0.1*F136+0.4*(F137+F138)</f>
        <v>0</v>
      </c>
      <c r="L147" s="27" t="s">
        <v>17</v>
      </c>
      <c r="M147" s="28"/>
    </row>
    <row r="148" spans="2:13" ht="14.25" thickBot="1" x14ac:dyDescent="0.45">
      <c r="B148" s="25"/>
      <c r="C148" s="4"/>
      <c r="D148" s="8"/>
      <c r="E148" s="8"/>
      <c r="F148" s="8"/>
      <c r="G148" s="8"/>
      <c r="H148" s="8"/>
      <c r="I148" s="12"/>
      <c r="J148" s="3" t="s">
        <v>70</v>
      </c>
      <c r="K148" s="11">
        <f>1500*SUM(G135:G140)</f>
        <v>0</v>
      </c>
      <c r="L148" s="2" t="s">
        <v>85</v>
      </c>
      <c r="M148" s="10" t="e">
        <f>M144</f>
        <v>#DIV/0!</v>
      </c>
    </row>
    <row r="149" spans="2:13" ht="14.25" thickBot="1" x14ac:dyDescent="0.45">
      <c r="B149" s="25"/>
      <c r="C149" s="27" t="s">
        <v>18</v>
      </c>
      <c r="D149" s="29"/>
      <c r="E149" s="29"/>
      <c r="F149" s="29"/>
      <c r="G149" s="29"/>
      <c r="H149" s="29"/>
      <c r="I149" s="28"/>
      <c r="J149" s="3" t="s">
        <v>71</v>
      </c>
      <c r="K149" s="11">
        <f>3750*G140+7500*I132+4500*SUM(G135:G138)+9000*I130</f>
        <v>0</v>
      </c>
      <c r="L149" s="3" t="s">
        <v>86</v>
      </c>
      <c r="M149" s="11" t="e">
        <f>G147*(G132-1.35*D144+SUM(D140:D141))</f>
        <v>#DIV/0!</v>
      </c>
    </row>
    <row r="150" spans="2:13" x14ac:dyDescent="0.4">
      <c r="B150" s="25"/>
      <c r="C150" s="2" t="s">
        <v>32</v>
      </c>
      <c r="D150" s="6" t="s">
        <v>33</v>
      </c>
      <c r="E150" s="6" t="s">
        <v>34</v>
      </c>
      <c r="F150" s="6" t="s">
        <v>35</v>
      </c>
      <c r="G150" s="6" t="s">
        <v>36</v>
      </c>
      <c r="H150" s="6" t="s">
        <v>37</v>
      </c>
      <c r="I150" s="10" t="s">
        <v>38</v>
      </c>
      <c r="J150" s="3" t="s">
        <v>72</v>
      </c>
      <c r="K150" s="11">
        <f>0</f>
        <v>0</v>
      </c>
      <c r="L150" s="3" t="s">
        <v>87</v>
      </c>
      <c r="M150" s="11">
        <f>H130*4</f>
        <v>0</v>
      </c>
    </row>
    <row r="151" spans="2:13" x14ac:dyDescent="0.4">
      <c r="B151" s="25"/>
      <c r="C151" s="3" t="s">
        <v>39</v>
      </c>
      <c r="I151" s="11"/>
      <c r="J151" s="3" t="s">
        <v>73</v>
      </c>
      <c r="K151" s="11" t="e">
        <f>0.1*M123</f>
        <v>#DIV/0!</v>
      </c>
      <c r="L151" s="3" t="s">
        <v>88</v>
      </c>
      <c r="M151" s="11">
        <f>M125-K144+M140</f>
        <v>3083834.9267578125</v>
      </c>
    </row>
    <row r="152" spans="2:13" x14ac:dyDescent="0.4">
      <c r="B152" s="25"/>
      <c r="C152" s="3" t="s">
        <v>40</v>
      </c>
      <c r="D152" s="7"/>
      <c r="E152" s="7"/>
      <c r="F152" s="7"/>
      <c r="H152" s="7"/>
      <c r="I152" s="11"/>
      <c r="J152" s="3" t="s">
        <v>74</v>
      </c>
      <c r="K152" s="11">
        <f>0.5*M124</f>
        <v>0</v>
      </c>
      <c r="L152" s="3" t="s">
        <v>89</v>
      </c>
      <c r="M152" s="11" t="e">
        <f>SUM(M148:M151)</f>
        <v>#DIV/0!</v>
      </c>
    </row>
    <row r="153" spans="2:13" x14ac:dyDescent="0.4">
      <c r="B153" s="25"/>
      <c r="C153" s="3" t="s">
        <v>41</v>
      </c>
      <c r="D153" s="7"/>
      <c r="E153" s="7"/>
      <c r="F153" s="7"/>
      <c r="I153" s="11"/>
      <c r="J153" s="3" t="s">
        <v>75</v>
      </c>
      <c r="K153" s="11" t="e">
        <f>$I$2/4*M153+$I$2/4*3*M128</f>
        <v>#DIV/0!</v>
      </c>
      <c r="L153" s="3" t="s">
        <v>90</v>
      </c>
      <c r="M153" s="11" t="e">
        <f>M129+G142-G143</f>
        <v>#DIV/0!</v>
      </c>
    </row>
    <row r="154" spans="2:13" x14ac:dyDescent="0.4">
      <c r="B154" s="25"/>
      <c r="C154" s="3" t="s">
        <v>42</v>
      </c>
      <c r="D154" s="7"/>
      <c r="E154" s="7"/>
      <c r="F154" s="7"/>
      <c r="I154" s="11"/>
      <c r="J154" s="3" t="s">
        <v>0</v>
      </c>
      <c r="K154" s="11">
        <f>K135/(1+$C$2)*$C$2</f>
        <v>0</v>
      </c>
      <c r="L154" s="3" t="s">
        <v>91</v>
      </c>
      <c r="M154" s="11" t="e">
        <f>IF(M145&gt;0,0,-M145)</f>
        <v>#DIV/0!</v>
      </c>
    </row>
    <row r="155" spans="2:13" x14ac:dyDescent="0.4">
      <c r="B155" s="25"/>
      <c r="C155" s="3" t="s">
        <v>43</v>
      </c>
      <c r="D155" s="1" t="s">
        <v>44</v>
      </c>
      <c r="E155" s="1" t="s">
        <v>45</v>
      </c>
      <c r="F155" s="1" t="s">
        <v>46</v>
      </c>
      <c r="G155" s="1" t="s">
        <v>47</v>
      </c>
      <c r="H155" s="1" t="s">
        <v>48</v>
      </c>
      <c r="I155" s="11" t="s">
        <v>49</v>
      </c>
      <c r="J155" s="3" t="s">
        <v>2</v>
      </c>
      <c r="K155" s="11">
        <f>K154*$E$2</f>
        <v>0</v>
      </c>
      <c r="L155" s="3" t="s">
        <v>92</v>
      </c>
      <c r="M155" s="11" t="e">
        <f>M153+M154</f>
        <v>#DIV/0!</v>
      </c>
    </row>
    <row r="156" spans="2:13" ht="14.25" thickBot="1" x14ac:dyDescent="0.45">
      <c r="B156" s="25"/>
      <c r="C156" s="3"/>
      <c r="D156" s="7"/>
      <c r="E156" s="7"/>
      <c r="F156" s="7"/>
      <c r="H156" s="7"/>
      <c r="I156" s="11"/>
      <c r="J156" s="3" t="s">
        <v>4</v>
      </c>
      <c r="K156" s="11" t="e">
        <f>IF(M158&lt;=0,0,M158)</f>
        <v>#DIV/0!</v>
      </c>
      <c r="L156" s="4" t="s">
        <v>93</v>
      </c>
      <c r="M156" s="12" t="e">
        <f>M152-M155</f>
        <v>#DIV/0!</v>
      </c>
    </row>
    <row r="157" spans="2:13" ht="14.25" thickBot="1" x14ac:dyDescent="0.45">
      <c r="B157" s="25"/>
      <c r="C157" s="3" t="s">
        <v>50</v>
      </c>
      <c r="D157" s="1" t="s">
        <v>51</v>
      </c>
      <c r="E157" s="1" t="s">
        <v>52</v>
      </c>
      <c r="F157" s="1" t="s">
        <v>53</v>
      </c>
      <c r="G157" s="1" t="s">
        <v>54</v>
      </c>
      <c r="H157" s="1" t="s">
        <v>55</v>
      </c>
      <c r="I157" s="11" t="s">
        <v>56</v>
      </c>
      <c r="J157" s="3" t="s">
        <v>76</v>
      </c>
      <c r="K157" s="11" t="e">
        <f>SUM(K136:K156)</f>
        <v>#DIV/0!</v>
      </c>
      <c r="M157" s="11"/>
    </row>
    <row r="158" spans="2:13" ht="14.25" thickBot="1" x14ac:dyDescent="0.45">
      <c r="B158" s="26"/>
      <c r="C158" s="5"/>
      <c r="D158" s="9"/>
      <c r="E158" s="9"/>
      <c r="F158" s="8"/>
      <c r="G158" s="9"/>
      <c r="H158" s="8"/>
      <c r="I158" s="12"/>
      <c r="J158" s="4" t="s">
        <v>77</v>
      </c>
      <c r="K158" s="12" t="e">
        <f>K135-K157</f>
        <v>#DIV/0!</v>
      </c>
      <c r="L158" s="21" t="s">
        <v>5</v>
      </c>
      <c r="M158" s="22" t="e">
        <f>(K135/(1+$C$2)-SUM(K136:K155)+K154)*$G$2</f>
        <v>#DIV/0!</v>
      </c>
    </row>
    <row r="159" spans="2:13" ht="14.25" thickBot="1" x14ac:dyDescent="0.45"/>
    <row r="160" spans="2:13" ht="14.25" thickBot="1" x14ac:dyDescent="0.45">
      <c r="B160" s="24" t="s">
        <v>100</v>
      </c>
      <c r="C160" s="2"/>
      <c r="D160" s="6" t="s">
        <v>11</v>
      </c>
      <c r="E160" s="6" t="s">
        <v>12</v>
      </c>
      <c r="F160" s="6" t="s">
        <v>13</v>
      </c>
      <c r="G160" s="6" t="s">
        <v>14</v>
      </c>
      <c r="H160" s="6"/>
      <c r="I160" s="10"/>
      <c r="J160" s="27" t="s">
        <v>15</v>
      </c>
      <c r="K160" s="28"/>
      <c r="L160" s="27" t="s">
        <v>16</v>
      </c>
      <c r="M160" s="28"/>
    </row>
    <row r="161" spans="2:13" x14ac:dyDescent="0.4">
      <c r="B161" s="25"/>
      <c r="C161" s="3" t="s">
        <v>39</v>
      </c>
      <c r="I161" s="11"/>
      <c r="J161" s="2" t="s">
        <v>57</v>
      </c>
      <c r="K161" s="10">
        <f>D161*(F161+H151-H177)+D162*(F162+H152-H178)+D163*(F163+H153-H179)+D163*(F164+H154-H180)</f>
        <v>0</v>
      </c>
      <c r="L161" s="2" t="s">
        <v>57</v>
      </c>
      <c r="M161" s="10">
        <f>K161</f>
        <v>0</v>
      </c>
    </row>
    <row r="162" spans="2:13" x14ac:dyDescent="0.4">
      <c r="B162" s="25"/>
      <c r="C162" s="3" t="s">
        <v>40</v>
      </c>
      <c r="E162" s="7"/>
      <c r="I162" s="11"/>
      <c r="J162" s="3" t="s">
        <v>58</v>
      </c>
      <c r="K162" s="23">
        <f>D171</f>
        <v>0</v>
      </c>
      <c r="L162" s="3" t="s">
        <v>25</v>
      </c>
      <c r="M162" s="11">
        <f>G168</f>
        <v>0</v>
      </c>
    </row>
    <row r="163" spans="2:13" x14ac:dyDescent="0.4">
      <c r="B163" s="25"/>
      <c r="C163" s="3" t="s">
        <v>41</v>
      </c>
      <c r="E163" s="7"/>
      <c r="I163" s="11"/>
      <c r="J163" s="3" t="s">
        <v>59</v>
      </c>
      <c r="K163" s="11">
        <f>20000</f>
        <v>20000</v>
      </c>
      <c r="L163" s="3" t="s">
        <v>78</v>
      </c>
      <c r="M163" s="11">
        <f>M162+M161</f>
        <v>0</v>
      </c>
    </row>
    <row r="164" spans="2:13" x14ac:dyDescent="0.4">
      <c r="B164" s="25"/>
      <c r="C164" s="3" t="s">
        <v>42</v>
      </c>
      <c r="E164" s="7"/>
      <c r="I164" s="11"/>
      <c r="J164" s="3" t="s">
        <v>60</v>
      </c>
      <c r="K164" s="11">
        <f>1.4*D170</f>
        <v>0</v>
      </c>
      <c r="L164" s="3" t="s">
        <v>79</v>
      </c>
      <c r="M164" s="11" t="e">
        <f>K183-K165-K170-K171</f>
        <v>#DIV/0!</v>
      </c>
    </row>
    <row r="165" spans="2:13" x14ac:dyDescent="0.4">
      <c r="B165" s="25"/>
      <c r="C165" s="3"/>
      <c r="I165" s="11"/>
      <c r="J165" s="3" t="s">
        <v>61</v>
      </c>
      <c r="K165" s="11" t="e">
        <f>1.35*G173*D170</f>
        <v>#DIV/0!</v>
      </c>
      <c r="L165" s="3" t="s">
        <v>80</v>
      </c>
      <c r="M165" s="11">
        <f>(D166+D167)*G172</f>
        <v>0</v>
      </c>
    </row>
    <row r="166" spans="2:13" x14ac:dyDescent="0.4">
      <c r="B166" s="25"/>
      <c r="C166" s="3" t="s">
        <v>19</v>
      </c>
      <c r="D166" s="7"/>
      <c r="F166" s="1" t="s">
        <v>24</v>
      </c>
      <c r="G166" s="1">
        <f>D168*3</f>
        <v>0</v>
      </c>
      <c r="I166" s="11"/>
      <c r="J166" s="3" t="s">
        <v>62</v>
      </c>
      <c r="K166" s="11">
        <f>IF(SUM(D166:D167)&gt;0,200000,0)</f>
        <v>0</v>
      </c>
      <c r="L166" s="3" t="s">
        <v>81</v>
      </c>
      <c r="M166" s="11">
        <f>500000*D168</f>
        <v>0</v>
      </c>
    </row>
    <row r="167" spans="2:13" x14ac:dyDescent="0.4">
      <c r="B167" s="25"/>
      <c r="C167" s="3" t="s">
        <v>20</v>
      </c>
      <c r="D167" s="7"/>
      <c r="I167" s="11"/>
      <c r="J167" s="3" t="s">
        <v>63</v>
      </c>
      <c r="K167" s="11">
        <f>D167</f>
        <v>0</v>
      </c>
      <c r="L167" s="3" t="s">
        <v>27</v>
      </c>
      <c r="M167" s="11">
        <f>G169</f>
        <v>0</v>
      </c>
    </row>
    <row r="168" spans="2:13" x14ac:dyDescent="0.4">
      <c r="B168" s="25"/>
      <c r="C168" s="3" t="s">
        <v>21</v>
      </c>
      <c r="F168" s="1" t="s">
        <v>26</v>
      </c>
      <c r="I168" s="11"/>
      <c r="J168" s="3" t="s">
        <v>64</v>
      </c>
      <c r="K168" s="11">
        <f>12000*F158</f>
        <v>0</v>
      </c>
      <c r="L168" s="3" t="s">
        <v>82</v>
      </c>
      <c r="M168" s="11" t="e">
        <f>SUM(M164:M167)</f>
        <v>#DIV/0!</v>
      </c>
    </row>
    <row r="169" spans="2:13" x14ac:dyDescent="0.4">
      <c r="B169" s="25"/>
      <c r="C169" s="3"/>
      <c r="F169" s="1" t="s">
        <v>28</v>
      </c>
      <c r="I169" s="11"/>
      <c r="J169" s="3" t="s">
        <v>65</v>
      </c>
      <c r="K169" s="11">
        <f>100000*D168</f>
        <v>0</v>
      </c>
      <c r="L169" s="3" t="s">
        <v>83</v>
      </c>
      <c r="M169" s="11" t="e">
        <f>M163-M168</f>
        <v>#DIV/0!</v>
      </c>
    </row>
    <row r="170" spans="2:13" x14ac:dyDescent="0.4">
      <c r="B170" s="25"/>
      <c r="C170" s="3" t="s">
        <v>22</v>
      </c>
      <c r="D170" s="7"/>
      <c r="F170" s="1" t="s">
        <v>29</v>
      </c>
      <c r="G170" s="1" t="e">
        <f>M171</f>
        <v>#DIV/0!</v>
      </c>
      <c r="I170" s="11"/>
      <c r="J170" s="3" t="s">
        <v>66</v>
      </c>
      <c r="K170" s="11">
        <f>0.025*M151</f>
        <v>77095.873168945313</v>
      </c>
      <c r="L170" s="3" t="s">
        <v>84</v>
      </c>
      <c r="M170" s="11" t="e">
        <f>IF(M180=0,M144+M169,K161/2)</f>
        <v>#DIV/0!</v>
      </c>
    </row>
    <row r="171" spans="2:13" ht="14.25" thickBot="1" x14ac:dyDescent="0.45">
      <c r="B171" s="25"/>
      <c r="C171" s="3" t="s">
        <v>23</v>
      </c>
      <c r="D171" s="7"/>
      <c r="I171" s="11"/>
      <c r="J171" s="3" t="s">
        <v>67</v>
      </c>
      <c r="K171" s="11">
        <f>M150-M176</f>
        <v>0</v>
      </c>
      <c r="L171" s="4" t="s">
        <v>29</v>
      </c>
      <c r="M171" s="12" t="e">
        <f>M144+G168+K161/2-M168</f>
        <v>#DIV/0!</v>
      </c>
    </row>
    <row r="172" spans="2:13" ht="14.25" thickBot="1" x14ac:dyDescent="0.45">
      <c r="B172" s="25"/>
      <c r="C172" s="3"/>
      <c r="F172" s="1" t="s">
        <v>30</v>
      </c>
      <c r="I172" s="11"/>
      <c r="J172" s="3" t="s">
        <v>68</v>
      </c>
      <c r="K172" s="11">
        <f>SUM(E161:E164)</f>
        <v>0</v>
      </c>
      <c r="M172" s="11"/>
    </row>
    <row r="173" spans="2:13" ht="14.25" thickBot="1" x14ac:dyDescent="0.45">
      <c r="B173" s="25"/>
      <c r="C173" s="3"/>
      <c r="F173" s="1" t="s">
        <v>31</v>
      </c>
      <c r="G173" s="1" t="e">
        <f>(M149+M165)/(G158+D166+D167)</f>
        <v>#DIV/0!</v>
      </c>
      <c r="I173" s="11"/>
      <c r="J173" s="3" t="s">
        <v>69</v>
      </c>
      <c r="K173" s="11">
        <f>0.5*F161+0.1*F162+0.4*(F163+F164)</f>
        <v>0</v>
      </c>
      <c r="L173" s="27" t="s">
        <v>17</v>
      </c>
      <c r="M173" s="28"/>
    </row>
    <row r="174" spans="2:13" ht="14.25" thickBot="1" x14ac:dyDescent="0.45">
      <c r="B174" s="25"/>
      <c r="C174" s="4"/>
      <c r="D174" s="8"/>
      <c r="E174" s="8"/>
      <c r="F174" s="8"/>
      <c r="G174" s="8"/>
      <c r="H174" s="8"/>
      <c r="I174" s="12"/>
      <c r="J174" s="3" t="s">
        <v>70</v>
      </c>
      <c r="K174" s="11">
        <f>1500*SUM(G161:G166)</f>
        <v>0</v>
      </c>
      <c r="L174" s="2" t="s">
        <v>85</v>
      </c>
      <c r="M174" s="10" t="e">
        <f>M170</f>
        <v>#DIV/0!</v>
      </c>
    </row>
    <row r="175" spans="2:13" ht="14.25" thickBot="1" x14ac:dyDescent="0.45">
      <c r="B175" s="25"/>
      <c r="C175" s="27" t="s">
        <v>18</v>
      </c>
      <c r="D175" s="29"/>
      <c r="E175" s="29"/>
      <c r="F175" s="29"/>
      <c r="G175" s="29"/>
      <c r="H175" s="29"/>
      <c r="I175" s="28"/>
      <c r="J175" s="3" t="s">
        <v>71</v>
      </c>
      <c r="K175" s="11">
        <f>3750*G166+7500*I158+4500*SUM(G161:G164)+9000*I156</f>
        <v>0</v>
      </c>
      <c r="L175" s="3" t="s">
        <v>86</v>
      </c>
      <c r="M175" s="11" t="e">
        <f>G173*(G158-1.35*D170+SUM(D166:D167))</f>
        <v>#DIV/0!</v>
      </c>
    </row>
    <row r="176" spans="2:13" x14ac:dyDescent="0.4">
      <c r="B176" s="25"/>
      <c r="C176" s="2" t="s">
        <v>32</v>
      </c>
      <c r="D176" s="6" t="s">
        <v>33</v>
      </c>
      <c r="E176" s="6" t="s">
        <v>34</v>
      </c>
      <c r="F176" s="6" t="s">
        <v>35</v>
      </c>
      <c r="G176" s="6" t="s">
        <v>36</v>
      </c>
      <c r="H176" s="6" t="s">
        <v>37</v>
      </c>
      <c r="I176" s="10" t="s">
        <v>38</v>
      </c>
      <c r="J176" s="3" t="s">
        <v>72</v>
      </c>
      <c r="K176" s="11">
        <f>0</f>
        <v>0</v>
      </c>
      <c r="L176" s="3" t="s">
        <v>87</v>
      </c>
      <c r="M176" s="11">
        <f>H156*4</f>
        <v>0</v>
      </c>
    </row>
    <row r="177" spans="2:13" x14ac:dyDescent="0.4">
      <c r="B177" s="25"/>
      <c r="C177" s="3" t="s">
        <v>39</v>
      </c>
      <c r="I177" s="11"/>
      <c r="J177" s="3" t="s">
        <v>73</v>
      </c>
      <c r="K177" s="11" t="e">
        <f>0.1*M149</f>
        <v>#DIV/0!</v>
      </c>
      <c r="L177" s="3" t="s">
        <v>88</v>
      </c>
      <c r="M177" s="11">
        <f>M151-K170+M166</f>
        <v>3006739.0535888672</v>
      </c>
    </row>
    <row r="178" spans="2:13" x14ac:dyDescent="0.4">
      <c r="B178" s="25"/>
      <c r="C178" s="3" t="s">
        <v>40</v>
      </c>
      <c r="D178" s="7"/>
      <c r="E178" s="7"/>
      <c r="F178" s="7"/>
      <c r="H178" s="7"/>
      <c r="I178" s="11"/>
      <c r="J178" s="3" t="s">
        <v>74</v>
      </c>
      <c r="K178" s="11">
        <f>0.5*M150</f>
        <v>0</v>
      </c>
      <c r="L178" s="3" t="s">
        <v>89</v>
      </c>
      <c r="M178" s="11" t="e">
        <f>SUM(M174:M177)</f>
        <v>#DIV/0!</v>
      </c>
    </row>
    <row r="179" spans="2:13" x14ac:dyDescent="0.4">
      <c r="B179" s="25"/>
      <c r="C179" s="3" t="s">
        <v>41</v>
      </c>
      <c r="D179" s="7"/>
      <c r="E179" s="7"/>
      <c r="F179" s="7"/>
      <c r="I179" s="11"/>
      <c r="J179" s="3" t="s">
        <v>75</v>
      </c>
      <c r="K179" s="11" t="e">
        <f>$I$2/4*M179+$I$2/4*3*M154</f>
        <v>#DIV/0!</v>
      </c>
      <c r="L179" s="3" t="s">
        <v>90</v>
      </c>
      <c r="M179" s="11" t="e">
        <f>M155+G168-G169</f>
        <v>#DIV/0!</v>
      </c>
    </row>
    <row r="180" spans="2:13" x14ac:dyDescent="0.4">
      <c r="B180" s="25"/>
      <c r="C180" s="3" t="s">
        <v>42</v>
      </c>
      <c r="D180" s="7"/>
      <c r="E180" s="7"/>
      <c r="F180" s="7"/>
      <c r="I180" s="11"/>
      <c r="J180" s="3" t="s">
        <v>0</v>
      </c>
      <c r="K180" s="11">
        <f>K161/(1+$C$2)*$C$2</f>
        <v>0</v>
      </c>
      <c r="L180" s="3" t="s">
        <v>91</v>
      </c>
      <c r="M180" s="11" t="e">
        <f>IF(M171&gt;0,0,-M171)</f>
        <v>#DIV/0!</v>
      </c>
    </row>
    <row r="181" spans="2:13" x14ac:dyDescent="0.4">
      <c r="B181" s="25"/>
      <c r="C181" s="3" t="s">
        <v>43</v>
      </c>
      <c r="D181" s="1" t="s">
        <v>44</v>
      </c>
      <c r="E181" s="1" t="s">
        <v>45</v>
      </c>
      <c r="F181" s="1" t="s">
        <v>46</v>
      </c>
      <c r="G181" s="1" t="s">
        <v>47</v>
      </c>
      <c r="H181" s="1" t="s">
        <v>48</v>
      </c>
      <c r="I181" s="11" t="s">
        <v>49</v>
      </c>
      <c r="J181" s="3" t="s">
        <v>2</v>
      </c>
      <c r="K181" s="11">
        <f>K180*$E$2</f>
        <v>0</v>
      </c>
      <c r="L181" s="3" t="s">
        <v>92</v>
      </c>
      <c r="M181" s="11" t="e">
        <f>M179+M180</f>
        <v>#DIV/0!</v>
      </c>
    </row>
    <row r="182" spans="2:13" ht="14.25" thickBot="1" x14ac:dyDescent="0.45">
      <c r="B182" s="25"/>
      <c r="C182" s="3"/>
      <c r="D182" s="7"/>
      <c r="E182" s="7"/>
      <c r="F182" s="7"/>
      <c r="H182" s="7"/>
      <c r="I182" s="11"/>
      <c r="J182" s="3" t="s">
        <v>4</v>
      </c>
      <c r="K182" s="11" t="e">
        <f>IF(M184&lt;=0,0,M184)</f>
        <v>#DIV/0!</v>
      </c>
      <c r="L182" s="4" t="s">
        <v>93</v>
      </c>
      <c r="M182" s="12" t="e">
        <f>M178-M181</f>
        <v>#DIV/0!</v>
      </c>
    </row>
    <row r="183" spans="2:13" ht="14.25" thickBot="1" x14ac:dyDescent="0.45">
      <c r="B183" s="25"/>
      <c r="C183" s="3" t="s">
        <v>50</v>
      </c>
      <c r="D183" s="1" t="s">
        <v>51</v>
      </c>
      <c r="E183" s="1" t="s">
        <v>52</v>
      </c>
      <c r="F183" s="1" t="s">
        <v>53</v>
      </c>
      <c r="G183" s="1" t="s">
        <v>54</v>
      </c>
      <c r="H183" s="1" t="s">
        <v>55</v>
      </c>
      <c r="I183" s="11" t="s">
        <v>56</v>
      </c>
      <c r="J183" s="3" t="s">
        <v>76</v>
      </c>
      <c r="K183" s="11" t="e">
        <f>SUM(K162:K182)</f>
        <v>#DIV/0!</v>
      </c>
      <c r="M183" s="11"/>
    </row>
    <row r="184" spans="2:13" ht="14.25" thickBot="1" x14ac:dyDescent="0.45">
      <c r="B184" s="26"/>
      <c r="C184" s="5"/>
      <c r="D184" s="9"/>
      <c r="E184" s="9"/>
      <c r="F184" s="8"/>
      <c r="G184" s="9"/>
      <c r="H184" s="8"/>
      <c r="I184" s="12"/>
      <c r="J184" s="4" t="s">
        <v>77</v>
      </c>
      <c r="K184" s="12" t="e">
        <f>K161-K183</f>
        <v>#DIV/0!</v>
      </c>
      <c r="L184" s="21" t="s">
        <v>5</v>
      </c>
      <c r="M184" s="22" t="e">
        <f>(K161/(1+$C$2)-SUM(K162:K181)+K180)*$G$2</f>
        <v>#DIV/0!</v>
      </c>
    </row>
    <row r="185" spans="2:13" ht="14.25" thickBot="1" x14ac:dyDescent="0.45"/>
    <row r="186" spans="2:13" ht="14.25" thickBot="1" x14ac:dyDescent="0.45">
      <c r="B186" s="24" t="s">
        <v>101</v>
      </c>
      <c r="C186" s="2"/>
      <c r="D186" s="6" t="s">
        <v>11</v>
      </c>
      <c r="E186" s="6" t="s">
        <v>12</v>
      </c>
      <c r="F186" s="6" t="s">
        <v>13</v>
      </c>
      <c r="G186" s="6" t="s">
        <v>14</v>
      </c>
      <c r="H186" s="6"/>
      <c r="I186" s="10"/>
      <c r="J186" s="27" t="s">
        <v>15</v>
      </c>
      <c r="K186" s="28"/>
      <c r="L186" s="27" t="s">
        <v>16</v>
      </c>
      <c r="M186" s="28"/>
    </row>
    <row r="187" spans="2:13" x14ac:dyDescent="0.4">
      <c r="B187" s="25"/>
      <c r="C187" s="3" t="s">
        <v>39</v>
      </c>
      <c r="I187" s="11"/>
      <c r="J187" s="2" t="s">
        <v>57</v>
      </c>
      <c r="K187" s="10">
        <f>D187*(F187+H177-H203)+D188*(F188+H178-H204)+D189*(F189+H179-H205)+D189*(F190+H180-H206)</f>
        <v>0</v>
      </c>
      <c r="L187" s="2" t="s">
        <v>57</v>
      </c>
      <c r="M187" s="10">
        <f>K187</f>
        <v>0</v>
      </c>
    </row>
    <row r="188" spans="2:13" x14ac:dyDescent="0.4">
      <c r="B188" s="25"/>
      <c r="C188" s="3" t="s">
        <v>40</v>
      </c>
      <c r="E188" s="7"/>
      <c r="I188" s="11"/>
      <c r="J188" s="3" t="s">
        <v>58</v>
      </c>
      <c r="K188" s="23">
        <f>D197</f>
        <v>0</v>
      </c>
      <c r="L188" s="3" t="s">
        <v>25</v>
      </c>
      <c r="M188" s="11">
        <f>G194</f>
        <v>0</v>
      </c>
    </row>
    <row r="189" spans="2:13" x14ac:dyDescent="0.4">
      <c r="B189" s="25"/>
      <c r="C189" s="3" t="s">
        <v>41</v>
      </c>
      <c r="E189" s="7"/>
      <c r="I189" s="11"/>
      <c r="J189" s="3" t="s">
        <v>59</v>
      </c>
      <c r="K189" s="11">
        <f>20000</f>
        <v>20000</v>
      </c>
      <c r="L189" s="3" t="s">
        <v>78</v>
      </c>
      <c r="M189" s="11">
        <f>M188+M187</f>
        <v>0</v>
      </c>
    </row>
    <row r="190" spans="2:13" x14ac:dyDescent="0.4">
      <c r="B190" s="25"/>
      <c r="C190" s="3" t="s">
        <v>42</v>
      </c>
      <c r="E190" s="7"/>
      <c r="I190" s="11"/>
      <c r="J190" s="3" t="s">
        <v>60</v>
      </c>
      <c r="K190" s="11">
        <f>1.4*D196</f>
        <v>0</v>
      </c>
      <c r="L190" s="3" t="s">
        <v>79</v>
      </c>
      <c r="M190" s="11" t="e">
        <f>K209-K191-K196-K197</f>
        <v>#DIV/0!</v>
      </c>
    </row>
    <row r="191" spans="2:13" x14ac:dyDescent="0.4">
      <c r="B191" s="25"/>
      <c r="C191" s="3"/>
      <c r="I191" s="11"/>
      <c r="J191" s="3" t="s">
        <v>61</v>
      </c>
      <c r="K191" s="11" t="e">
        <f>1.35*G199*D196</f>
        <v>#DIV/0!</v>
      </c>
      <c r="L191" s="3" t="s">
        <v>80</v>
      </c>
      <c r="M191" s="11">
        <f>(D192+D193)*G198</f>
        <v>0</v>
      </c>
    </row>
    <row r="192" spans="2:13" x14ac:dyDescent="0.4">
      <c r="B192" s="25"/>
      <c r="C192" s="3" t="s">
        <v>19</v>
      </c>
      <c r="D192" s="7"/>
      <c r="F192" s="1" t="s">
        <v>24</v>
      </c>
      <c r="G192" s="1">
        <f>D194*3</f>
        <v>0</v>
      </c>
      <c r="I192" s="11"/>
      <c r="J192" s="3" t="s">
        <v>62</v>
      </c>
      <c r="K192" s="11">
        <f>IF(SUM(D192:D193)&gt;0,200000,0)</f>
        <v>0</v>
      </c>
      <c r="L192" s="3" t="s">
        <v>81</v>
      </c>
      <c r="M192" s="11">
        <f>500000*D194</f>
        <v>0</v>
      </c>
    </row>
    <row r="193" spans="2:13" x14ac:dyDescent="0.4">
      <c r="B193" s="25"/>
      <c r="C193" s="3" t="s">
        <v>20</v>
      </c>
      <c r="D193" s="7"/>
      <c r="I193" s="11"/>
      <c r="J193" s="3" t="s">
        <v>63</v>
      </c>
      <c r="K193" s="11">
        <f>D193</f>
        <v>0</v>
      </c>
      <c r="L193" s="3" t="s">
        <v>27</v>
      </c>
      <c r="M193" s="11">
        <f>G195</f>
        <v>0</v>
      </c>
    </row>
    <row r="194" spans="2:13" x14ac:dyDescent="0.4">
      <c r="B194" s="25"/>
      <c r="C194" s="3" t="s">
        <v>21</v>
      </c>
      <c r="F194" s="1" t="s">
        <v>26</v>
      </c>
      <c r="I194" s="11"/>
      <c r="J194" s="3" t="s">
        <v>64</v>
      </c>
      <c r="K194" s="11">
        <f>12000*F184</f>
        <v>0</v>
      </c>
      <c r="L194" s="3" t="s">
        <v>82</v>
      </c>
      <c r="M194" s="11" t="e">
        <f>SUM(M190:M193)</f>
        <v>#DIV/0!</v>
      </c>
    </row>
    <row r="195" spans="2:13" x14ac:dyDescent="0.4">
      <c r="B195" s="25"/>
      <c r="C195" s="3"/>
      <c r="F195" s="1" t="s">
        <v>28</v>
      </c>
      <c r="I195" s="11"/>
      <c r="J195" s="3" t="s">
        <v>65</v>
      </c>
      <c r="K195" s="11">
        <f>100000*D194</f>
        <v>0</v>
      </c>
      <c r="L195" s="3" t="s">
        <v>83</v>
      </c>
      <c r="M195" s="11" t="e">
        <f>M189-M194</f>
        <v>#DIV/0!</v>
      </c>
    </row>
    <row r="196" spans="2:13" x14ac:dyDescent="0.4">
      <c r="B196" s="25"/>
      <c r="C196" s="3" t="s">
        <v>22</v>
      </c>
      <c r="D196" s="7"/>
      <c r="F196" s="1" t="s">
        <v>29</v>
      </c>
      <c r="G196" s="1" t="e">
        <f>M197</f>
        <v>#DIV/0!</v>
      </c>
      <c r="I196" s="11"/>
      <c r="J196" s="3" t="s">
        <v>66</v>
      </c>
      <c r="K196" s="11">
        <f>0.025*M177</f>
        <v>75168.476339721688</v>
      </c>
      <c r="L196" s="3" t="s">
        <v>84</v>
      </c>
      <c r="M196" s="11" t="e">
        <f>IF(M206=0,M170+M195,K187/2)</f>
        <v>#DIV/0!</v>
      </c>
    </row>
    <row r="197" spans="2:13" ht="14.25" thickBot="1" x14ac:dyDescent="0.45">
      <c r="B197" s="25"/>
      <c r="C197" s="3" t="s">
        <v>23</v>
      </c>
      <c r="D197" s="7"/>
      <c r="I197" s="11"/>
      <c r="J197" s="3" t="s">
        <v>67</v>
      </c>
      <c r="K197" s="11">
        <f>M176-M202</f>
        <v>0</v>
      </c>
      <c r="L197" s="4" t="s">
        <v>29</v>
      </c>
      <c r="M197" s="12" t="e">
        <f>M170+G194+K187/2-M194</f>
        <v>#DIV/0!</v>
      </c>
    </row>
    <row r="198" spans="2:13" ht="14.25" thickBot="1" x14ac:dyDescent="0.45">
      <c r="B198" s="25"/>
      <c r="C198" s="3"/>
      <c r="F198" s="1" t="s">
        <v>30</v>
      </c>
      <c r="I198" s="11"/>
      <c r="J198" s="3" t="s">
        <v>68</v>
      </c>
      <c r="K198" s="11">
        <f>SUM(E187:E190)</f>
        <v>0</v>
      </c>
      <c r="M198" s="11"/>
    </row>
    <row r="199" spans="2:13" ht="14.25" thickBot="1" x14ac:dyDescent="0.45">
      <c r="B199" s="25"/>
      <c r="C199" s="3"/>
      <c r="F199" s="1" t="s">
        <v>31</v>
      </c>
      <c r="G199" s="1" t="e">
        <f>(M175+M191)/(G184+D192+D193)</f>
        <v>#DIV/0!</v>
      </c>
      <c r="I199" s="11"/>
      <c r="J199" s="3" t="s">
        <v>69</v>
      </c>
      <c r="K199" s="11">
        <f>0.5*F187+0.1*F188+0.4*(F189+F190)</f>
        <v>0</v>
      </c>
      <c r="L199" s="27" t="s">
        <v>17</v>
      </c>
      <c r="M199" s="28"/>
    </row>
    <row r="200" spans="2:13" ht="14.25" thickBot="1" x14ac:dyDescent="0.45">
      <c r="B200" s="25"/>
      <c r="C200" s="4"/>
      <c r="D200" s="8"/>
      <c r="E200" s="8"/>
      <c r="F200" s="8"/>
      <c r="G200" s="8"/>
      <c r="H200" s="8"/>
      <c r="I200" s="12"/>
      <c r="J200" s="3" t="s">
        <v>70</v>
      </c>
      <c r="K200" s="11">
        <f>1500*SUM(G187:G192)</f>
        <v>0</v>
      </c>
      <c r="L200" s="2" t="s">
        <v>85</v>
      </c>
      <c r="M200" s="10" t="e">
        <f>M196</f>
        <v>#DIV/0!</v>
      </c>
    </row>
    <row r="201" spans="2:13" ht="14.25" thickBot="1" x14ac:dyDescent="0.45">
      <c r="B201" s="25"/>
      <c r="C201" s="27" t="s">
        <v>18</v>
      </c>
      <c r="D201" s="29"/>
      <c r="E201" s="29"/>
      <c r="F201" s="29"/>
      <c r="G201" s="29"/>
      <c r="H201" s="29"/>
      <c r="I201" s="28"/>
      <c r="J201" s="3" t="s">
        <v>71</v>
      </c>
      <c r="K201" s="11">
        <f>3750*G192+7500*I184+4500*SUM(G187:G190)+9000*I182</f>
        <v>0</v>
      </c>
      <c r="L201" s="3" t="s">
        <v>86</v>
      </c>
      <c r="M201" s="11" t="e">
        <f>G199*(G184-1.35*D196+SUM(D192:D193))</f>
        <v>#DIV/0!</v>
      </c>
    </row>
    <row r="202" spans="2:13" x14ac:dyDescent="0.4">
      <c r="B202" s="25"/>
      <c r="C202" s="2" t="s">
        <v>32</v>
      </c>
      <c r="D202" s="6" t="s">
        <v>33</v>
      </c>
      <c r="E202" s="6" t="s">
        <v>34</v>
      </c>
      <c r="F202" s="6" t="s">
        <v>35</v>
      </c>
      <c r="G202" s="6" t="s">
        <v>36</v>
      </c>
      <c r="H202" s="6" t="s">
        <v>37</v>
      </c>
      <c r="I202" s="10" t="s">
        <v>38</v>
      </c>
      <c r="J202" s="3" t="s">
        <v>72</v>
      </c>
      <c r="K202" s="11">
        <f>0</f>
        <v>0</v>
      </c>
      <c r="L202" s="3" t="s">
        <v>87</v>
      </c>
      <c r="M202" s="11">
        <f>H182*4</f>
        <v>0</v>
      </c>
    </row>
    <row r="203" spans="2:13" x14ac:dyDescent="0.4">
      <c r="B203" s="25"/>
      <c r="C203" s="3" t="s">
        <v>39</v>
      </c>
      <c r="I203" s="11"/>
      <c r="J203" s="3" t="s">
        <v>73</v>
      </c>
      <c r="K203" s="11" t="e">
        <f>0.1*M175</f>
        <v>#DIV/0!</v>
      </c>
      <c r="L203" s="3" t="s">
        <v>88</v>
      </c>
      <c r="M203" s="11">
        <f>M177-K196+M192</f>
        <v>2931570.5772491456</v>
      </c>
    </row>
    <row r="204" spans="2:13" x14ac:dyDescent="0.4">
      <c r="B204" s="25"/>
      <c r="C204" s="3" t="s">
        <v>40</v>
      </c>
      <c r="D204" s="7"/>
      <c r="E204" s="7"/>
      <c r="F204" s="7"/>
      <c r="H204" s="7"/>
      <c r="I204" s="11"/>
      <c r="J204" s="3" t="s">
        <v>74</v>
      </c>
      <c r="K204" s="11">
        <f>0.5*M176</f>
        <v>0</v>
      </c>
      <c r="L204" s="3" t="s">
        <v>89</v>
      </c>
      <c r="M204" s="11" t="e">
        <f>SUM(M200:M203)</f>
        <v>#DIV/0!</v>
      </c>
    </row>
    <row r="205" spans="2:13" x14ac:dyDescent="0.4">
      <c r="B205" s="25"/>
      <c r="C205" s="3" t="s">
        <v>41</v>
      </c>
      <c r="D205" s="7"/>
      <c r="E205" s="7"/>
      <c r="F205" s="7"/>
      <c r="I205" s="11"/>
      <c r="J205" s="3" t="s">
        <v>75</v>
      </c>
      <c r="K205" s="11" t="e">
        <f>$I$2/4*M205+$I$2/4*3*M180</f>
        <v>#DIV/0!</v>
      </c>
      <c r="L205" s="3" t="s">
        <v>90</v>
      </c>
      <c r="M205" s="11" t="e">
        <f>M181+G194-G195</f>
        <v>#DIV/0!</v>
      </c>
    </row>
    <row r="206" spans="2:13" x14ac:dyDescent="0.4">
      <c r="B206" s="25"/>
      <c r="C206" s="3" t="s">
        <v>42</v>
      </c>
      <c r="D206" s="7"/>
      <c r="E206" s="7"/>
      <c r="F206" s="7"/>
      <c r="I206" s="11"/>
      <c r="J206" s="3" t="s">
        <v>0</v>
      </c>
      <c r="K206" s="11">
        <f>K187/(1+$C$2)*$C$2</f>
        <v>0</v>
      </c>
      <c r="L206" s="3" t="s">
        <v>91</v>
      </c>
      <c r="M206" s="11" t="e">
        <f>IF(M197&gt;0,0,-M197)</f>
        <v>#DIV/0!</v>
      </c>
    </row>
    <row r="207" spans="2:13" x14ac:dyDescent="0.4">
      <c r="B207" s="25"/>
      <c r="C207" s="3" t="s">
        <v>43</v>
      </c>
      <c r="D207" s="1" t="s">
        <v>44</v>
      </c>
      <c r="E207" s="1" t="s">
        <v>45</v>
      </c>
      <c r="F207" s="1" t="s">
        <v>46</v>
      </c>
      <c r="G207" s="1" t="s">
        <v>47</v>
      </c>
      <c r="H207" s="1" t="s">
        <v>48</v>
      </c>
      <c r="I207" s="11" t="s">
        <v>49</v>
      </c>
      <c r="J207" s="3" t="s">
        <v>2</v>
      </c>
      <c r="K207" s="11">
        <f>K206*$E$2</f>
        <v>0</v>
      </c>
      <c r="L207" s="3" t="s">
        <v>92</v>
      </c>
      <c r="M207" s="11" t="e">
        <f>M205+M206</f>
        <v>#DIV/0!</v>
      </c>
    </row>
    <row r="208" spans="2:13" ht="14.25" thickBot="1" x14ac:dyDescent="0.45">
      <c r="B208" s="25"/>
      <c r="C208" s="3"/>
      <c r="D208" s="7"/>
      <c r="E208" s="7"/>
      <c r="F208" s="7"/>
      <c r="H208" s="7"/>
      <c r="I208" s="11"/>
      <c r="J208" s="3" t="s">
        <v>4</v>
      </c>
      <c r="K208" s="11" t="e">
        <f>IF(M210&lt;=0,0,M210)</f>
        <v>#DIV/0!</v>
      </c>
      <c r="L208" s="4" t="s">
        <v>93</v>
      </c>
      <c r="M208" s="12" t="e">
        <f>M204-M207</f>
        <v>#DIV/0!</v>
      </c>
    </row>
    <row r="209" spans="2:13" ht="14.25" thickBot="1" x14ac:dyDescent="0.45">
      <c r="B209" s="25"/>
      <c r="C209" s="3" t="s">
        <v>50</v>
      </c>
      <c r="D209" s="1" t="s">
        <v>51</v>
      </c>
      <c r="E209" s="1" t="s">
        <v>52</v>
      </c>
      <c r="F209" s="1" t="s">
        <v>53</v>
      </c>
      <c r="G209" s="1" t="s">
        <v>54</v>
      </c>
      <c r="H209" s="1" t="s">
        <v>55</v>
      </c>
      <c r="I209" s="11" t="s">
        <v>56</v>
      </c>
      <c r="J209" s="3" t="s">
        <v>76</v>
      </c>
      <c r="K209" s="11" t="e">
        <f>SUM(K188:K208)</f>
        <v>#DIV/0!</v>
      </c>
      <c r="M209" s="11"/>
    </row>
    <row r="210" spans="2:13" ht="14.25" thickBot="1" x14ac:dyDescent="0.45">
      <c r="B210" s="26"/>
      <c r="C210" s="5"/>
      <c r="D210" s="9"/>
      <c r="E210" s="9"/>
      <c r="F210" s="8"/>
      <c r="G210" s="9"/>
      <c r="H210" s="8"/>
      <c r="I210" s="12"/>
      <c r="J210" s="4" t="s">
        <v>77</v>
      </c>
      <c r="K210" s="12" t="e">
        <f>K187-K209</f>
        <v>#DIV/0!</v>
      </c>
      <c r="L210" s="21" t="s">
        <v>5</v>
      </c>
      <c r="M210" s="22" t="e">
        <f>(K187/(1+$C$2)-SUM(K188:K207)+K206)*$G$2</f>
        <v>#DIV/0!</v>
      </c>
    </row>
    <row r="211" spans="2:13" ht="14.25" thickBot="1" x14ac:dyDescent="0.45"/>
    <row r="212" spans="2:13" ht="14.25" thickBot="1" x14ac:dyDescent="0.45">
      <c r="B212" s="24" t="s">
        <v>102</v>
      </c>
      <c r="C212" s="2"/>
      <c r="D212" s="6" t="s">
        <v>11</v>
      </c>
      <c r="E212" s="6" t="s">
        <v>12</v>
      </c>
      <c r="F212" s="6" t="s">
        <v>13</v>
      </c>
      <c r="G212" s="6" t="s">
        <v>14</v>
      </c>
      <c r="H212" s="6"/>
      <c r="I212" s="10"/>
      <c r="J212" s="27" t="s">
        <v>15</v>
      </c>
      <c r="K212" s="28"/>
      <c r="L212" s="27" t="s">
        <v>16</v>
      </c>
      <c r="M212" s="28"/>
    </row>
    <row r="213" spans="2:13" x14ac:dyDescent="0.4">
      <c r="B213" s="25"/>
      <c r="C213" s="3" t="s">
        <v>39</v>
      </c>
      <c r="I213" s="11"/>
      <c r="J213" s="2" t="s">
        <v>57</v>
      </c>
      <c r="K213" s="10">
        <f>D213*(F213+H203-H229)+D214*(F214+H204-H230)+D215*(F215+H205-H231)+D215*(F216+H206-H232)</f>
        <v>0</v>
      </c>
      <c r="L213" s="2" t="s">
        <v>57</v>
      </c>
      <c r="M213" s="10">
        <f>K213</f>
        <v>0</v>
      </c>
    </row>
    <row r="214" spans="2:13" x14ac:dyDescent="0.4">
      <c r="B214" s="25"/>
      <c r="C214" s="3" t="s">
        <v>40</v>
      </c>
      <c r="E214" s="7"/>
      <c r="I214" s="11"/>
      <c r="J214" s="3" t="s">
        <v>58</v>
      </c>
      <c r="K214" s="23">
        <f>D223</f>
        <v>0</v>
      </c>
      <c r="L214" s="3" t="s">
        <v>25</v>
      </c>
      <c r="M214" s="11">
        <f>G220</f>
        <v>0</v>
      </c>
    </row>
    <row r="215" spans="2:13" x14ac:dyDescent="0.4">
      <c r="B215" s="25"/>
      <c r="C215" s="3" t="s">
        <v>41</v>
      </c>
      <c r="E215" s="7"/>
      <c r="I215" s="11"/>
      <c r="J215" s="3" t="s">
        <v>59</v>
      </c>
      <c r="K215" s="11">
        <f>20000</f>
        <v>20000</v>
      </c>
      <c r="L215" s="3" t="s">
        <v>78</v>
      </c>
      <c r="M215" s="11">
        <f>M214+M213</f>
        <v>0</v>
      </c>
    </row>
    <row r="216" spans="2:13" x14ac:dyDescent="0.4">
      <c r="B216" s="25"/>
      <c r="C216" s="3" t="s">
        <v>42</v>
      </c>
      <c r="E216" s="7"/>
      <c r="I216" s="11"/>
      <c r="J216" s="3" t="s">
        <v>60</v>
      </c>
      <c r="K216" s="11">
        <f>1.4*D222</f>
        <v>0</v>
      </c>
      <c r="L216" s="3" t="s">
        <v>79</v>
      </c>
      <c r="M216" s="11" t="e">
        <f>K235-K217-K222-K223</f>
        <v>#DIV/0!</v>
      </c>
    </row>
    <row r="217" spans="2:13" x14ac:dyDescent="0.4">
      <c r="B217" s="25"/>
      <c r="C217" s="3"/>
      <c r="I217" s="11"/>
      <c r="J217" s="3" t="s">
        <v>61</v>
      </c>
      <c r="K217" s="11" t="e">
        <f>1.35*G225*D222</f>
        <v>#DIV/0!</v>
      </c>
      <c r="L217" s="3" t="s">
        <v>80</v>
      </c>
      <c r="M217" s="11">
        <f>(D218+D219)*G224</f>
        <v>0</v>
      </c>
    </row>
    <row r="218" spans="2:13" x14ac:dyDescent="0.4">
      <c r="B218" s="25"/>
      <c r="C218" s="3" t="s">
        <v>19</v>
      </c>
      <c r="D218" s="7"/>
      <c r="F218" s="1" t="s">
        <v>24</v>
      </c>
      <c r="G218" s="1">
        <f>D220*3</f>
        <v>0</v>
      </c>
      <c r="I218" s="11"/>
      <c r="J218" s="3" t="s">
        <v>62</v>
      </c>
      <c r="K218" s="11">
        <f>IF(SUM(D218:D219)&gt;0,200000,0)</f>
        <v>0</v>
      </c>
      <c r="L218" s="3" t="s">
        <v>81</v>
      </c>
      <c r="M218" s="11">
        <f>500000*D220</f>
        <v>0</v>
      </c>
    </row>
    <row r="219" spans="2:13" x14ac:dyDescent="0.4">
      <c r="B219" s="25"/>
      <c r="C219" s="3" t="s">
        <v>20</v>
      </c>
      <c r="D219" s="7"/>
      <c r="I219" s="11"/>
      <c r="J219" s="3" t="s">
        <v>63</v>
      </c>
      <c r="K219" s="11">
        <f>D219</f>
        <v>0</v>
      </c>
      <c r="L219" s="3" t="s">
        <v>27</v>
      </c>
      <c r="M219" s="11">
        <f>G221</f>
        <v>0</v>
      </c>
    </row>
    <row r="220" spans="2:13" x14ac:dyDescent="0.4">
      <c r="B220" s="25"/>
      <c r="C220" s="3" t="s">
        <v>21</v>
      </c>
      <c r="F220" s="1" t="s">
        <v>26</v>
      </c>
      <c r="I220" s="11"/>
      <c r="J220" s="3" t="s">
        <v>64</v>
      </c>
      <c r="K220" s="11">
        <f>12000*F210</f>
        <v>0</v>
      </c>
      <c r="L220" s="3" t="s">
        <v>82</v>
      </c>
      <c r="M220" s="11" t="e">
        <f>SUM(M216:M219)</f>
        <v>#DIV/0!</v>
      </c>
    </row>
    <row r="221" spans="2:13" x14ac:dyDescent="0.4">
      <c r="B221" s="25"/>
      <c r="C221" s="3"/>
      <c r="F221" s="1" t="s">
        <v>28</v>
      </c>
      <c r="I221" s="11"/>
      <c r="J221" s="3" t="s">
        <v>65</v>
      </c>
      <c r="K221" s="11">
        <f>100000*D220</f>
        <v>0</v>
      </c>
      <c r="L221" s="3" t="s">
        <v>83</v>
      </c>
      <c r="M221" s="11" t="e">
        <f>M215-M220</f>
        <v>#DIV/0!</v>
      </c>
    </row>
    <row r="222" spans="2:13" x14ac:dyDescent="0.4">
      <c r="B222" s="25"/>
      <c r="C222" s="3" t="s">
        <v>22</v>
      </c>
      <c r="D222" s="7"/>
      <c r="F222" s="1" t="s">
        <v>29</v>
      </c>
      <c r="G222" s="1" t="e">
        <f>M223</f>
        <v>#DIV/0!</v>
      </c>
      <c r="I222" s="11"/>
      <c r="J222" s="3" t="s">
        <v>66</v>
      </c>
      <c r="K222" s="11">
        <f>0.025*M203</f>
        <v>73289.264431228643</v>
      </c>
      <c r="L222" s="3" t="s">
        <v>84</v>
      </c>
      <c r="M222" s="11" t="e">
        <f>IF(M232=0,M196+M221,K213/2)</f>
        <v>#DIV/0!</v>
      </c>
    </row>
    <row r="223" spans="2:13" ht="14.25" thickBot="1" x14ac:dyDescent="0.45">
      <c r="B223" s="25"/>
      <c r="C223" s="3" t="s">
        <v>23</v>
      </c>
      <c r="D223" s="7"/>
      <c r="I223" s="11"/>
      <c r="J223" s="3" t="s">
        <v>67</v>
      </c>
      <c r="K223" s="11">
        <f>M202-M228</f>
        <v>0</v>
      </c>
      <c r="L223" s="4" t="s">
        <v>29</v>
      </c>
      <c r="M223" s="12" t="e">
        <f>M196+G220+K213/2-M220</f>
        <v>#DIV/0!</v>
      </c>
    </row>
    <row r="224" spans="2:13" ht="14.25" thickBot="1" x14ac:dyDescent="0.45">
      <c r="B224" s="25"/>
      <c r="C224" s="3"/>
      <c r="F224" s="1" t="s">
        <v>30</v>
      </c>
      <c r="I224" s="11"/>
      <c r="J224" s="3" t="s">
        <v>68</v>
      </c>
      <c r="K224" s="11">
        <f>SUM(E213:E216)</f>
        <v>0</v>
      </c>
      <c r="M224" s="11"/>
    </row>
    <row r="225" spans="2:13" ht="14.25" thickBot="1" x14ac:dyDescent="0.45">
      <c r="B225" s="25"/>
      <c r="C225" s="3"/>
      <c r="F225" s="1" t="s">
        <v>31</v>
      </c>
      <c r="G225" s="1" t="e">
        <f>(M201+M217)/(G210+D218+D219)</f>
        <v>#DIV/0!</v>
      </c>
      <c r="I225" s="11"/>
      <c r="J225" s="3" t="s">
        <v>69</v>
      </c>
      <c r="K225" s="11">
        <f>0.5*F213+0.1*F214+0.4*(F215+F216)</f>
        <v>0</v>
      </c>
      <c r="L225" s="27" t="s">
        <v>17</v>
      </c>
      <c r="M225" s="28"/>
    </row>
    <row r="226" spans="2:13" ht="14.25" thickBot="1" x14ac:dyDescent="0.45">
      <c r="B226" s="25"/>
      <c r="C226" s="4"/>
      <c r="D226" s="8"/>
      <c r="E226" s="8"/>
      <c r="F226" s="8"/>
      <c r="G226" s="8"/>
      <c r="H226" s="8"/>
      <c r="I226" s="12"/>
      <c r="J226" s="3" t="s">
        <v>70</v>
      </c>
      <c r="K226" s="11">
        <f>1500*SUM(G213:G218)</f>
        <v>0</v>
      </c>
      <c r="L226" s="2" t="s">
        <v>85</v>
      </c>
      <c r="M226" s="10" t="e">
        <f>M222</f>
        <v>#DIV/0!</v>
      </c>
    </row>
    <row r="227" spans="2:13" ht="14.25" thickBot="1" x14ac:dyDescent="0.45">
      <c r="B227" s="25"/>
      <c r="C227" s="27" t="s">
        <v>18</v>
      </c>
      <c r="D227" s="29"/>
      <c r="E227" s="29"/>
      <c r="F227" s="29"/>
      <c r="G227" s="29"/>
      <c r="H227" s="29"/>
      <c r="I227" s="28"/>
      <c r="J227" s="3" t="s">
        <v>71</v>
      </c>
      <c r="K227" s="11">
        <f>3750*G218+7500*I210+4500*SUM(G213:G216)+9000*I208</f>
        <v>0</v>
      </c>
      <c r="L227" s="3" t="s">
        <v>86</v>
      </c>
      <c r="M227" s="11" t="e">
        <f>G225*(G210-1.35*D222+SUM(D218:D219))</f>
        <v>#DIV/0!</v>
      </c>
    </row>
    <row r="228" spans="2:13" x14ac:dyDescent="0.4">
      <c r="B228" s="25"/>
      <c r="C228" s="2" t="s">
        <v>32</v>
      </c>
      <c r="D228" s="6" t="s">
        <v>33</v>
      </c>
      <c r="E228" s="6" t="s">
        <v>34</v>
      </c>
      <c r="F228" s="6" t="s">
        <v>35</v>
      </c>
      <c r="G228" s="6" t="s">
        <v>36</v>
      </c>
      <c r="H228" s="6" t="s">
        <v>37</v>
      </c>
      <c r="I228" s="10" t="s">
        <v>38</v>
      </c>
      <c r="J228" s="3" t="s">
        <v>72</v>
      </c>
      <c r="K228" s="11">
        <f>0</f>
        <v>0</v>
      </c>
      <c r="L228" s="3" t="s">
        <v>87</v>
      </c>
      <c r="M228" s="11">
        <f>H208*4</f>
        <v>0</v>
      </c>
    </row>
    <row r="229" spans="2:13" x14ac:dyDescent="0.4">
      <c r="B229" s="25"/>
      <c r="C229" s="3" t="s">
        <v>39</v>
      </c>
      <c r="I229" s="11"/>
      <c r="J229" s="3" t="s">
        <v>73</v>
      </c>
      <c r="K229" s="11" t="e">
        <f>0.1*M201</f>
        <v>#DIV/0!</v>
      </c>
      <c r="L229" s="3" t="s">
        <v>88</v>
      </c>
      <c r="M229" s="11">
        <f>M203-K222+M218</f>
        <v>2858281.3128179167</v>
      </c>
    </row>
    <row r="230" spans="2:13" x14ac:dyDescent="0.4">
      <c r="B230" s="25"/>
      <c r="C230" s="3" t="s">
        <v>40</v>
      </c>
      <c r="D230" s="7"/>
      <c r="E230" s="7"/>
      <c r="F230" s="7"/>
      <c r="H230" s="7"/>
      <c r="I230" s="11"/>
      <c r="J230" s="3" t="s">
        <v>74</v>
      </c>
      <c r="K230" s="11">
        <f>0.5*M202</f>
        <v>0</v>
      </c>
      <c r="L230" s="3" t="s">
        <v>89</v>
      </c>
      <c r="M230" s="11" t="e">
        <f>SUM(M226:M229)</f>
        <v>#DIV/0!</v>
      </c>
    </row>
    <row r="231" spans="2:13" x14ac:dyDescent="0.4">
      <c r="B231" s="25"/>
      <c r="C231" s="3" t="s">
        <v>41</v>
      </c>
      <c r="D231" s="7"/>
      <c r="E231" s="7"/>
      <c r="F231" s="7"/>
      <c r="I231" s="11"/>
      <c r="J231" s="3" t="s">
        <v>75</v>
      </c>
      <c r="K231" s="11" t="e">
        <f>$I$2/4*M231+$I$2/4*3*M206</f>
        <v>#DIV/0!</v>
      </c>
      <c r="L231" s="3" t="s">
        <v>90</v>
      </c>
      <c r="M231" s="11" t="e">
        <f>M207+G220-G221</f>
        <v>#DIV/0!</v>
      </c>
    </row>
    <row r="232" spans="2:13" x14ac:dyDescent="0.4">
      <c r="B232" s="25"/>
      <c r="C232" s="3" t="s">
        <v>42</v>
      </c>
      <c r="D232" s="7"/>
      <c r="E232" s="7"/>
      <c r="F232" s="7"/>
      <c r="I232" s="11"/>
      <c r="J232" s="3" t="s">
        <v>0</v>
      </c>
      <c r="K232" s="11">
        <f>K213/(1+$C$2)*$C$2</f>
        <v>0</v>
      </c>
      <c r="L232" s="3" t="s">
        <v>91</v>
      </c>
      <c r="M232" s="11" t="e">
        <f>IF(M223&gt;0,0,-M223)</f>
        <v>#DIV/0!</v>
      </c>
    </row>
    <row r="233" spans="2:13" x14ac:dyDescent="0.4">
      <c r="B233" s="25"/>
      <c r="C233" s="3" t="s">
        <v>43</v>
      </c>
      <c r="D233" s="1" t="s">
        <v>44</v>
      </c>
      <c r="E233" s="1" t="s">
        <v>45</v>
      </c>
      <c r="F233" s="1" t="s">
        <v>46</v>
      </c>
      <c r="G233" s="1" t="s">
        <v>47</v>
      </c>
      <c r="H233" s="1" t="s">
        <v>48</v>
      </c>
      <c r="I233" s="11" t="s">
        <v>49</v>
      </c>
      <c r="J233" s="3" t="s">
        <v>2</v>
      </c>
      <c r="K233" s="11">
        <f>K232*$E$2</f>
        <v>0</v>
      </c>
      <c r="L233" s="3" t="s">
        <v>92</v>
      </c>
      <c r="M233" s="11" t="e">
        <f>M231+M232</f>
        <v>#DIV/0!</v>
      </c>
    </row>
    <row r="234" spans="2:13" ht="14.25" thickBot="1" x14ac:dyDescent="0.45">
      <c r="B234" s="25"/>
      <c r="C234" s="3"/>
      <c r="D234" s="7"/>
      <c r="E234" s="7"/>
      <c r="F234" s="7"/>
      <c r="H234" s="7"/>
      <c r="I234" s="11"/>
      <c r="J234" s="3" t="s">
        <v>4</v>
      </c>
      <c r="K234" s="11" t="e">
        <f>IF(M236&lt;=0,0,M236)</f>
        <v>#DIV/0!</v>
      </c>
      <c r="L234" s="4" t="s">
        <v>93</v>
      </c>
      <c r="M234" s="12" t="e">
        <f>M230-M233</f>
        <v>#DIV/0!</v>
      </c>
    </row>
    <row r="235" spans="2:13" ht="14.25" thickBot="1" x14ac:dyDescent="0.45">
      <c r="B235" s="25"/>
      <c r="C235" s="3" t="s">
        <v>50</v>
      </c>
      <c r="D235" s="1" t="s">
        <v>51</v>
      </c>
      <c r="E235" s="1" t="s">
        <v>52</v>
      </c>
      <c r="F235" s="1" t="s">
        <v>53</v>
      </c>
      <c r="G235" s="1" t="s">
        <v>54</v>
      </c>
      <c r="H235" s="1" t="s">
        <v>55</v>
      </c>
      <c r="I235" s="11" t="s">
        <v>56</v>
      </c>
      <c r="J235" s="3" t="s">
        <v>76</v>
      </c>
      <c r="K235" s="11" t="e">
        <f>SUM(K214:K234)</f>
        <v>#DIV/0!</v>
      </c>
      <c r="M235" s="11"/>
    </row>
    <row r="236" spans="2:13" ht="14.25" thickBot="1" x14ac:dyDescent="0.45">
      <c r="B236" s="26"/>
      <c r="C236" s="5"/>
      <c r="D236" s="9"/>
      <c r="E236" s="9"/>
      <c r="F236" s="8"/>
      <c r="G236" s="9"/>
      <c r="H236" s="8"/>
      <c r="I236" s="12"/>
      <c r="J236" s="4" t="s">
        <v>77</v>
      </c>
      <c r="K236" s="12" t="e">
        <f>K213-K235</f>
        <v>#DIV/0!</v>
      </c>
      <c r="L236" s="21" t="s">
        <v>5</v>
      </c>
      <c r="M236" s="22" t="e">
        <f>(K213/(1+$C$2)-SUM(K214:K233)+K232)*$G$2</f>
        <v>#DIV/0!</v>
      </c>
    </row>
  </sheetData>
  <mergeCells count="45">
    <mergeCell ref="B108:B132"/>
    <mergeCell ref="J108:K108"/>
    <mergeCell ref="L108:M108"/>
    <mergeCell ref="L121:M121"/>
    <mergeCell ref="C123:I123"/>
    <mergeCell ref="B56:B80"/>
    <mergeCell ref="J56:K56"/>
    <mergeCell ref="L56:M56"/>
    <mergeCell ref="L69:M69"/>
    <mergeCell ref="C71:I71"/>
    <mergeCell ref="B82:B106"/>
    <mergeCell ref="J82:K82"/>
    <mergeCell ref="L82:M82"/>
    <mergeCell ref="L95:M95"/>
    <mergeCell ref="C97:I97"/>
    <mergeCell ref="J4:K4"/>
    <mergeCell ref="L4:M4"/>
    <mergeCell ref="L17:M17"/>
    <mergeCell ref="C19:I19"/>
    <mergeCell ref="B4:B28"/>
    <mergeCell ref="B30:B54"/>
    <mergeCell ref="J30:K30"/>
    <mergeCell ref="L30:M30"/>
    <mergeCell ref="L43:M43"/>
    <mergeCell ref="C45:I45"/>
    <mergeCell ref="B134:B158"/>
    <mergeCell ref="J134:K134"/>
    <mergeCell ref="L134:M134"/>
    <mergeCell ref="L147:M147"/>
    <mergeCell ref="C149:I149"/>
    <mergeCell ref="B160:B184"/>
    <mergeCell ref="J160:K160"/>
    <mergeCell ref="L160:M160"/>
    <mergeCell ref="L173:M173"/>
    <mergeCell ref="C175:I175"/>
    <mergeCell ref="B186:B210"/>
    <mergeCell ref="J186:K186"/>
    <mergeCell ref="L186:M186"/>
    <mergeCell ref="L199:M199"/>
    <mergeCell ref="C201:I201"/>
    <mergeCell ref="B212:B236"/>
    <mergeCell ref="J212:K212"/>
    <mergeCell ref="L212:M212"/>
    <mergeCell ref="L225:M225"/>
    <mergeCell ref="C227:I2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</dc:creator>
  <cp:lastModifiedBy>Wei Lyu</cp:lastModifiedBy>
  <dcterms:created xsi:type="dcterms:W3CDTF">2015-06-05T18:19:34Z</dcterms:created>
  <dcterms:modified xsi:type="dcterms:W3CDTF">2026-06-11T14:05:05Z</dcterms:modified>
</cp:coreProperties>
</file>